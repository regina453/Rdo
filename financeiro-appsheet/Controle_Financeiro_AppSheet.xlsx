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as" sheetId="1" state="visible" r:id="rId1"/>
    <sheet name="Categorias" sheetId="2" state="visible" r:id="rId2"/>
    <sheet name="Lancamentos" sheetId="3" state="visible" r:id="rId3"/>
    <sheet name="Despesas_Fixas" sheetId="4" state="visible" r:id="rId4"/>
    <sheet name="Numeros_Auxiliar" sheetId="5" state="visible" r:id="rId5"/>
    <sheet name="Resumo_Mensal" sheetId="6" state="visible" r:id="rId6"/>
    <sheet name="Previsao_Mensal" sheetId="7" state="visible" r:id="rId7"/>
    <sheet name="Orcament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;[RED]-&quot;R$&quot; #,##0.00"/>
    <numFmt numFmtId="165" formatCode="yyyy-mm-dd"/>
    <numFmt numFmtId="166" formatCode="DD/MM/AAAA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</font>
    <font>
      <name val="Arial"/>
      <i val="1"/>
      <color rgb="00666666"/>
      <sz val="9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2E5B4C"/>
        <bgColor rgb="002E5B4C"/>
      </patternFill>
    </fill>
    <fill>
      <patternFill patternType="solid">
        <fgColor rgb="004C7A68"/>
        <bgColor rgb="004C7A6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166" fontId="2" fillId="0" borderId="1" pivotButton="0" quotePrefix="0" xfId="0"/>
    <xf numFmtId="0" fontId="0" fillId="0" borderId="1" pivotButton="0" quotePrefix="0" xfId="0"/>
    <xf numFmtId="0" fontId="1" fillId="3" borderId="0" applyAlignment="1" pivotButton="0" quotePrefix="0" xfId="0">
      <alignment horizontal="center"/>
    </xf>
    <xf numFmtId="0" fontId="4" fillId="0" borderId="1" pivotButton="0" quotePrefix="0" xfId="0"/>
    <xf numFmtId="167" fontId="2" fillId="0" borderId="1" pivotButton="0" quotePrefix="0" xfId="0"/>
    <xf numFmtId="0" fontId="1" fillId="2" borderId="1" applyAlignment="1" pivotButton="0" quotePrefix="0" xfId="0">
      <alignment horizontal="center"/>
    </xf>
    <xf numFmtId="164" fontId="0" fillId="0" borderId="1" pivotButton="0" quotePrefix="0" xfId="0"/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18" customWidth="1" min="4" max="4"/>
    <col width="16" customWidth="1" min="5" max="5"/>
    <col width="10" customWidth="1" min="6" max="6"/>
  </cols>
  <sheetData>
    <row r="1">
      <c r="A1" s="1" t="inlineStr">
        <is>
          <t>ID_Conta</t>
        </is>
      </c>
      <c r="B1" s="1" t="inlineStr">
        <is>
          <t>Nome_Conta</t>
        </is>
      </c>
      <c r="C1" s="1" t="inlineStr">
        <is>
          <t>Tipo</t>
        </is>
      </c>
      <c r="D1" s="1" t="inlineStr">
        <is>
          <t>Banco</t>
        </is>
      </c>
      <c r="E1" s="1" t="inlineStr">
        <is>
          <t>Saldo_Inicial</t>
        </is>
      </c>
      <c r="F1" s="1" t="inlineStr">
        <is>
          <t>Ativa</t>
        </is>
      </c>
    </row>
    <row r="2">
      <c r="A2" s="2" t="inlineStr">
        <is>
          <t>CTA01</t>
        </is>
      </c>
      <c r="B2" s="2" t="inlineStr">
        <is>
          <t>Nubank Conta</t>
        </is>
      </c>
      <c r="C2" s="2" t="inlineStr">
        <is>
          <t>Corrente</t>
        </is>
      </c>
      <c r="D2" s="2" t="inlineStr">
        <is>
          <t>Nubank</t>
        </is>
      </c>
      <c r="E2" s="3" t="n">
        <v>1500</v>
      </c>
      <c r="F2" s="2" t="inlineStr">
        <is>
          <t>Sim</t>
        </is>
      </c>
    </row>
    <row r="3">
      <c r="A3" s="2" t="inlineStr">
        <is>
          <t>CTA02</t>
        </is>
      </c>
      <c r="B3" s="2" t="inlineStr">
        <is>
          <t>Nubank Cartao</t>
        </is>
      </c>
      <c r="C3" s="2" t="inlineStr">
        <is>
          <t>Cartao</t>
        </is>
      </c>
      <c r="D3" s="2" t="inlineStr">
        <is>
          <t>Nubank</t>
        </is>
      </c>
      <c r="E3" s="3" t="n">
        <v>0</v>
      </c>
      <c r="F3" s="2" t="inlineStr">
        <is>
          <t>Sim</t>
        </is>
      </c>
    </row>
    <row r="4">
      <c r="A4" s="2" t="inlineStr">
        <is>
          <t>CTA03</t>
        </is>
      </c>
      <c r="B4" s="2" t="inlineStr">
        <is>
          <t>Banco do Brasil</t>
        </is>
      </c>
      <c r="C4" s="2" t="inlineStr">
        <is>
          <t>Corrente</t>
        </is>
      </c>
      <c r="D4" s="2" t="inlineStr">
        <is>
          <t>Banco do Brasil</t>
        </is>
      </c>
      <c r="E4" s="3" t="n">
        <v>3200</v>
      </c>
      <c r="F4" s="2" t="inlineStr">
        <is>
          <t>Sim</t>
        </is>
      </c>
    </row>
    <row r="5">
      <c r="A5" s="2" t="inlineStr">
        <is>
          <t>CTA04</t>
        </is>
      </c>
      <c r="B5" s="2" t="inlineStr">
        <is>
          <t>Itau Conta</t>
        </is>
      </c>
      <c r="C5" s="2" t="inlineStr">
        <is>
          <t>Corrente</t>
        </is>
      </c>
      <c r="D5" s="2" t="inlineStr">
        <is>
          <t>Itau</t>
        </is>
      </c>
      <c r="E5" s="3" t="n">
        <v>800</v>
      </c>
      <c r="F5" s="2" t="inlineStr">
        <is>
          <t>Sim</t>
        </is>
      </c>
    </row>
    <row r="6">
      <c r="A6" s="2" t="inlineStr">
        <is>
          <t>CTA05</t>
        </is>
      </c>
      <c r="B6" s="2" t="inlineStr">
        <is>
          <t>Itau Cartao</t>
        </is>
      </c>
      <c r="C6" s="2" t="inlineStr">
        <is>
          <t>Cartao</t>
        </is>
      </c>
      <c r="D6" s="2" t="inlineStr">
        <is>
          <t>Itau</t>
        </is>
      </c>
      <c r="E6" s="3" t="n">
        <v>0</v>
      </c>
      <c r="F6" s="2" t="inlineStr">
        <is>
          <t>Sim</t>
        </is>
      </c>
    </row>
    <row r="7">
      <c r="A7" s="2" t="inlineStr">
        <is>
          <t>CTA06</t>
        </is>
      </c>
      <c r="B7" s="2" t="inlineStr">
        <is>
          <t>Carteira</t>
        </is>
      </c>
      <c r="C7" s="2" t="inlineStr">
        <is>
          <t>Dinheiro</t>
        </is>
      </c>
      <c r="D7" s="2" t="inlineStr">
        <is>
          <t>-</t>
        </is>
      </c>
      <c r="E7" s="3" t="n">
        <v>150</v>
      </c>
      <c r="F7" s="2" t="inlineStr">
        <is>
          <t>Sim</t>
        </is>
      </c>
    </row>
    <row r="8">
      <c r="A8" s="2" t="inlineStr">
        <is>
          <t>CTA07</t>
        </is>
      </c>
      <c r="B8" s="2" t="inlineStr">
        <is>
          <t>Investimentos</t>
        </is>
      </c>
      <c r="C8" s="2" t="inlineStr">
        <is>
          <t>Investimento</t>
        </is>
      </c>
      <c r="D8" s="2" t="inlineStr">
        <is>
          <t>-</t>
        </is>
      </c>
      <c r="E8" s="3" t="n">
        <v>5000</v>
      </c>
      <c r="F8" s="2" t="inlineStr">
        <is>
          <t>Sim</t>
        </is>
      </c>
    </row>
    <row r="10">
      <c r="A10" s="4" t="inlineStr">
        <is>
          <t>Legenda: preencha/edite estas linhas conforme suas contas reais. Tipo aceita: Corrente, Cartao, Dinheiro, Investimento.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4" customWidth="1" min="3" max="3"/>
    <col width="20" customWidth="1" min="4" max="4"/>
  </cols>
  <sheetData>
    <row r="1">
      <c r="A1" s="1" t="inlineStr">
        <is>
          <t>ID_Categoria</t>
        </is>
      </c>
      <c r="B1" s="1" t="inlineStr">
        <is>
          <t>Nome_Categoria</t>
        </is>
      </c>
      <c r="C1" s="1" t="inlineStr">
        <is>
          <t>Tipo</t>
        </is>
      </c>
      <c r="D1" s="1" t="inlineStr">
        <is>
          <t>Grupo</t>
        </is>
      </c>
    </row>
    <row r="2">
      <c r="A2" s="2" t="inlineStr">
        <is>
          <t>CAT01</t>
        </is>
      </c>
      <c r="B2" s="2" t="inlineStr">
        <is>
          <t>Salario</t>
        </is>
      </c>
      <c r="C2" s="2" t="inlineStr">
        <is>
          <t>Receita</t>
        </is>
      </c>
      <c r="D2" s="2" t="inlineStr">
        <is>
          <t>Salario</t>
        </is>
      </c>
    </row>
    <row r="3">
      <c r="A3" s="2" t="inlineStr">
        <is>
          <t>CAT02</t>
        </is>
      </c>
      <c r="B3" s="2" t="inlineStr">
        <is>
          <t>Freelance / Extra</t>
        </is>
      </c>
      <c r="C3" s="2" t="inlineStr">
        <is>
          <t>Receita</t>
        </is>
      </c>
      <c r="D3" s="2" t="inlineStr">
        <is>
          <t>Salario</t>
        </is>
      </c>
    </row>
    <row r="4">
      <c r="A4" s="2" t="inlineStr">
        <is>
          <t>CAT03</t>
        </is>
      </c>
      <c r="B4" s="2" t="inlineStr">
        <is>
          <t>Rendimentos de Investimentos</t>
        </is>
      </c>
      <c r="C4" s="2" t="inlineStr">
        <is>
          <t>Receita</t>
        </is>
      </c>
      <c r="D4" s="2" t="inlineStr">
        <is>
          <t>Renda Variavel</t>
        </is>
      </c>
    </row>
    <row r="5">
      <c r="A5" s="2" t="inlineStr">
        <is>
          <t>CAT04</t>
        </is>
      </c>
      <c r="B5" s="2" t="inlineStr">
        <is>
          <t>Outras Receitas</t>
        </is>
      </c>
      <c r="C5" s="2" t="inlineStr">
        <is>
          <t>Receita</t>
        </is>
      </c>
      <c r="D5" s="2" t="inlineStr">
        <is>
          <t>Outros</t>
        </is>
      </c>
    </row>
    <row r="6">
      <c r="A6" s="2" t="inlineStr">
        <is>
          <t>CAT05</t>
        </is>
      </c>
      <c r="B6" s="2" t="inlineStr">
        <is>
          <t>Aluguel / Financiamento</t>
        </is>
      </c>
      <c r="C6" s="2" t="inlineStr">
        <is>
          <t>Despesa</t>
        </is>
      </c>
      <c r="D6" s="2" t="inlineStr">
        <is>
          <t>Moradia</t>
        </is>
      </c>
    </row>
    <row r="7">
      <c r="A7" s="2" t="inlineStr">
        <is>
          <t>CAT06</t>
        </is>
      </c>
      <c r="B7" s="2" t="inlineStr">
        <is>
          <t>Condominio</t>
        </is>
      </c>
      <c r="C7" s="2" t="inlineStr">
        <is>
          <t>Despesa</t>
        </is>
      </c>
      <c r="D7" s="2" t="inlineStr">
        <is>
          <t>Moradia</t>
        </is>
      </c>
    </row>
    <row r="8">
      <c r="A8" s="2" t="inlineStr">
        <is>
          <t>CAT07</t>
        </is>
      </c>
      <c r="B8" s="2" t="inlineStr">
        <is>
          <t>Energia Eletrica</t>
        </is>
      </c>
      <c r="C8" s="2" t="inlineStr">
        <is>
          <t>Despesa</t>
        </is>
      </c>
      <c r="D8" s="2" t="inlineStr">
        <is>
          <t>Moradia</t>
        </is>
      </c>
    </row>
    <row r="9">
      <c r="A9" s="2" t="inlineStr">
        <is>
          <t>CAT08</t>
        </is>
      </c>
      <c r="B9" s="2" t="inlineStr">
        <is>
          <t>Agua</t>
        </is>
      </c>
      <c r="C9" s="2" t="inlineStr">
        <is>
          <t>Despesa</t>
        </is>
      </c>
      <c r="D9" s="2" t="inlineStr">
        <is>
          <t>Moradia</t>
        </is>
      </c>
    </row>
    <row r="10">
      <c r="A10" s="2" t="inlineStr">
        <is>
          <t>CAT09</t>
        </is>
      </c>
      <c r="B10" s="2" t="inlineStr">
        <is>
          <t>Internet / Telefone</t>
        </is>
      </c>
      <c r="C10" s="2" t="inlineStr">
        <is>
          <t>Despesa</t>
        </is>
      </c>
      <c r="D10" s="2" t="inlineStr">
        <is>
          <t>Moradia</t>
        </is>
      </c>
    </row>
    <row r="11">
      <c r="A11" s="2" t="inlineStr">
        <is>
          <t>CAT10</t>
        </is>
      </c>
      <c r="B11" s="2" t="inlineStr">
        <is>
          <t>Supermercado</t>
        </is>
      </c>
      <c r="C11" s="2" t="inlineStr">
        <is>
          <t>Despesa</t>
        </is>
      </c>
      <c r="D11" s="2" t="inlineStr">
        <is>
          <t>Alimentacao</t>
        </is>
      </c>
    </row>
    <row r="12">
      <c r="A12" s="2" t="inlineStr">
        <is>
          <t>CAT11</t>
        </is>
      </c>
      <c r="B12" s="2" t="inlineStr">
        <is>
          <t>Restaurantes / Delivery</t>
        </is>
      </c>
      <c r="C12" s="2" t="inlineStr">
        <is>
          <t>Despesa</t>
        </is>
      </c>
      <c r="D12" s="2" t="inlineStr">
        <is>
          <t>Alimentacao</t>
        </is>
      </c>
    </row>
    <row r="13">
      <c r="A13" s="2" t="inlineStr">
        <is>
          <t>CAT12</t>
        </is>
      </c>
      <c r="B13" s="2" t="inlineStr">
        <is>
          <t>Combustivel</t>
        </is>
      </c>
      <c r="C13" s="2" t="inlineStr">
        <is>
          <t>Despesa</t>
        </is>
      </c>
      <c r="D13" s="2" t="inlineStr">
        <is>
          <t>Transporte</t>
        </is>
      </c>
    </row>
    <row r="14">
      <c r="A14" s="2" t="inlineStr">
        <is>
          <t>CAT13</t>
        </is>
      </c>
      <c r="B14" s="2" t="inlineStr">
        <is>
          <t>Transporte por App / Publico</t>
        </is>
      </c>
      <c r="C14" s="2" t="inlineStr">
        <is>
          <t>Despesa</t>
        </is>
      </c>
      <c r="D14" s="2" t="inlineStr">
        <is>
          <t>Transporte</t>
        </is>
      </c>
    </row>
    <row r="15">
      <c r="A15" s="2" t="inlineStr">
        <is>
          <t>CAT14</t>
        </is>
      </c>
      <c r="B15" s="2" t="inlineStr">
        <is>
          <t>Manutencao Veiculo</t>
        </is>
      </c>
      <c r="C15" s="2" t="inlineStr">
        <is>
          <t>Despesa</t>
        </is>
      </c>
      <c r="D15" s="2" t="inlineStr">
        <is>
          <t>Transporte</t>
        </is>
      </c>
    </row>
    <row r="16">
      <c r="A16" s="2" t="inlineStr">
        <is>
          <t>CAT15</t>
        </is>
      </c>
      <c r="B16" s="2" t="inlineStr">
        <is>
          <t>Plano de Saude</t>
        </is>
      </c>
      <c r="C16" s="2" t="inlineStr">
        <is>
          <t>Despesa</t>
        </is>
      </c>
      <c r="D16" s="2" t="inlineStr">
        <is>
          <t>Saude</t>
        </is>
      </c>
    </row>
    <row r="17">
      <c r="A17" s="2" t="inlineStr">
        <is>
          <t>CAT16</t>
        </is>
      </c>
      <c r="B17" s="2" t="inlineStr">
        <is>
          <t>Farmacia</t>
        </is>
      </c>
      <c r="C17" s="2" t="inlineStr">
        <is>
          <t>Despesa</t>
        </is>
      </c>
      <c r="D17" s="2" t="inlineStr">
        <is>
          <t>Saude</t>
        </is>
      </c>
    </row>
    <row r="18">
      <c r="A18" s="2" t="inlineStr">
        <is>
          <t>CAT17</t>
        </is>
      </c>
      <c r="B18" s="2" t="inlineStr">
        <is>
          <t>Consultas / Exames</t>
        </is>
      </c>
      <c r="C18" s="2" t="inlineStr">
        <is>
          <t>Despesa</t>
        </is>
      </c>
      <c r="D18" s="2" t="inlineStr">
        <is>
          <t>Saude</t>
        </is>
      </c>
    </row>
    <row r="19">
      <c r="A19" s="2" t="inlineStr">
        <is>
          <t>CAT18</t>
        </is>
      </c>
      <c r="B19" s="2" t="inlineStr">
        <is>
          <t>Cinema / Lazer</t>
        </is>
      </c>
      <c r="C19" s="2" t="inlineStr">
        <is>
          <t>Despesa</t>
        </is>
      </c>
      <c r="D19" s="2" t="inlineStr">
        <is>
          <t>Lazer</t>
        </is>
      </c>
    </row>
    <row r="20">
      <c r="A20" s="2" t="inlineStr">
        <is>
          <t>CAT19</t>
        </is>
      </c>
      <c r="B20" s="2" t="inlineStr">
        <is>
          <t>Viagens</t>
        </is>
      </c>
      <c r="C20" s="2" t="inlineStr">
        <is>
          <t>Despesa</t>
        </is>
      </c>
      <c r="D20" s="2" t="inlineStr">
        <is>
          <t>Lazer</t>
        </is>
      </c>
    </row>
    <row r="21">
      <c r="A21" s="2" t="inlineStr">
        <is>
          <t>CAT20</t>
        </is>
      </c>
      <c r="B21" s="2" t="inlineStr">
        <is>
          <t>Cursos / Livros</t>
        </is>
      </c>
      <c r="C21" s="2" t="inlineStr">
        <is>
          <t>Despesa</t>
        </is>
      </c>
      <c r="D21" s="2" t="inlineStr">
        <is>
          <t>Educacao</t>
        </is>
      </c>
    </row>
    <row r="22">
      <c r="A22" s="2" t="inlineStr">
        <is>
          <t>CAT21</t>
        </is>
      </c>
      <c r="B22" s="2" t="inlineStr">
        <is>
          <t>Mensalidade Escolar</t>
        </is>
      </c>
      <c r="C22" s="2" t="inlineStr">
        <is>
          <t>Despesa</t>
        </is>
      </c>
      <c r="D22" s="2" t="inlineStr">
        <is>
          <t>Educacao</t>
        </is>
      </c>
    </row>
    <row r="23">
      <c r="A23" s="2" t="inlineStr">
        <is>
          <t>CAT22</t>
        </is>
      </c>
      <c r="B23" s="2" t="inlineStr">
        <is>
          <t>Streaming / Assinaturas</t>
        </is>
      </c>
      <c r="C23" s="2" t="inlineStr">
        <is>
          <t>Despesa</t>
        </is>
      </c>
      <c r="D23" s="2" t="inlineStr">
        <is>
          <t>Assinaturas</t>
        </is>
      </c>
    </row>
    <row r="24">
      <c r="A24" s="2" t="inlineStr">
        <is>
          <t>CAT23</t>
        </is>
      </c>
      <c r="B24" s="2" t="inlineStr">
        <is>
          <t>Vestuario</t>
        </is>
      </c>
      <c r="C24" s="2" t="inlineStr">
        <is>
          <t>Despesa</t>
        </is>
      </c>
      <c r="D24" s="2" t="inlineStr">
        <is>
          <t>Outros</t>
        </is>
      </c>
    </row>
    <row r="25">
      <c r="A25" s="2" t="inlineStr">
        <is>
          <t>CAT24</t>
        </is>
      </c>
      <c r="B25" s="2" t="inlineStr">
        <is>
          <t>Cuidados Pessoais</t>
        </is>
      </c>
      <c r="C25" s="2" t="inlineStr">
        <is>
          <t>Despesa</t>
        </is>
      </c>
      <c r="D25" s="2" t="inlineStr">
        <is>
          <t>Outros</t>
        </is>
      </c>
    </row>
    <row r="26">
      <c r="A26" s="2" t="inlineStr">
        <is>
          <t>CAT25</t>
        </is>
      </c>
      <c r="B26" s="2" t="inlineStr">
        <is>
          <t>Impostos / Taxas</t>
        </is>
      </c>
      <c r="C26" s="2" t="inlineStr">
        <is>
          <t>Despesa</t>
        </is>
      </c>
      <c r="D26" s="2" t="inlineStr">
        <is>
          <t>Outros</t>
        </is>
      </c>
    </row>
    <row r="27">
      <c r="A27" s="2" t="inlineStr">
        <is>
          <t>CAT26</t>
        </is>
      </c>
      <c r="B27" s="2" t="inlineStr">
        <is>
          <t>Pets</t>
        </is>
      </c>
      <c r="C27" s="2" t="inlineStr">
        <is>
          <t>Despesa</t>
        </is>
      </c>
      <c r="D27" s="2" t="inlineStr">
        <is>
          <t>Outros</t>
        </is>
      </c>
    </row>
    <row r="28">
      <c r="A28" s="2" t="inlineStr">
        <is>
          <t>CAT27</t>
        </is>
      </c>
      <c r="B28" s="2" t="inlineStr">
        <is>
          <t>Presentes / Doacoes</t>
        </is>
      </c>
      <c r="C28" s="2" t="inlineStr">
        <is>
          <t>Despesa</t>
        </is>
      </c>
      <c r="D28" s="2" t="inlineStr">
        <is>
          <t>Outros</t>
        </is>
      </c>
    </row>
    <row r="29">
      <c r="A29" s="2" t="inlineStr">
        <is>
          <t>CAT28</t>
        </is>
      </c>
      <c r="B29" s="2" t="inlineStr">
        <is>
          <t>Renda Fixa (CDB, Tesouro)</t>
        </is>
      </c>
      <c r="C29" s="2" t="inlineStr">
        <is>
          <t>Investimento</t>
        </is>
      </c>
      <c r="D29" s="2" t="inlineStr">
        <is>
          <t>Renda Fixa</t>
        </is>
      </c>
    </row>
    <row r="30">
      <c r="A30" s="2" t="inlineStr">
        <is>
          <t>CAT29</t>
        </is>
      </c>
      <c r="B30" s="2" t="inlineStr">
        <is>
          <t>Renda Variavel (Acoes, FIIs)</t>
        </is>
      </c>
      <c r="C30" s="2" t="inlineStr">
        <is>
          <t>Investimento</t>
        </is>
      </c>
      <c r="D30" s="2" t="inlineStr">
        <is>
          <t>Renda Variavel</t>
        </is>
      </c>
    </row>
    <row r="31">
      <c r="A31" s="2" t="inlineStr">
        <is>
          <t>CAT30</t>
        </is>
      </c>
      <c r="B31" s="2" t="inlineStr">
        <is>
          <t>Reserva de Emergencia</t>
        </is>
      </c>
      <c r="C31" s="2" t="inlineStr">
        <is>
          <t>Investimento</t>
        </is>
      </c>
      <c r="D31" s="2" t="inlineStr">
        <is>
          <t>Renda Fixa</t>
        </is>
      </c>
    </row>
    <row r="33">
      <c r="A33" s="4" t="inlineStr">
        <is>
          <t>Legenda: adicione/edite categorias livremente. Tipo deve ser Receita, Despesa ou Investimento (usado pelas formulas do Resumo_Mensal).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24" customWidth="1" min="5" max="5"/>
    <col width="24" customWidth="1" min="6" max="6"/>
    <col width="12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11" customWidth="1" min="13" max="13"/>
    <col width="20" customWidth="1" min="14" max="14"/>
    <col width="14" customWidth="1" min="15" max="15"/>
  </cols>
  <sheetData>
    <row r="1">
      <c r="A1" s="1" t="inlineStr">
        <is>
          <t>ID_Lancamento</t>
        </is>
      </c>
      <c r="B1" s="1" t="inlineStr">
        <is>
          <t>Data</t>
        </is>
      </c>
      <c r="C1" s="1" t="inlineStr">
        <is>
          <t>Tipo</t>
        </is>
      </c>
      <c r="D1" s="1" t="inlineStr">
        <is>
          <t>Conta</t>
        </is>
      </c>
      <c r="E1" s="1" t="inlineStr">
        <is>
          <t>Categoria</t>
        </is>
      </c>
      <c r="F1" s="1" t="inlineStr">
        <is>
          <t>Descricao</t>
        </is>
      </c>
      <c r="G1" s="1" t="inlineStr">
        <is>
          <t>Valor</t>
        </is>
      </c>
      <c r="H1" s="1" t="inlineStr">
        <is>
          <t>Forma_Pagamento</t>
        </is>
      </c>
      <c r="I1" s="1" t="inlineStr">
        <is>
          <t>Parcela_Atual</t>
        </is>
      </c>
      <c r="J1" s="1" t="inlineStr">
        <is>
          <t>Total_Parcelas</t>
        </is>
      </c>
      <c r="K1" s="1" t="inlineStr">
        <is>
          <t>ID_Compra</t>
        </is>
      </c>
      <c r="L1" s="1" t="inlineStr">
        <is>
          <t>Status</t>
        </is>
      </c>
      <c r="M1" s="1" t="inlineStr">
        <is>
          <t>Recorrente</t>
        </is>
      </c>
      <c r="N1" s="1" t="inlineStr">
        <is>
          <t>Observacoes</t>
        </is>
      </c>
      <c r="O1" s="1" t="inlineStr">
        <is>
          <t>Mes_Referencia</t>
        </is>
      </c>
    </row>
    <row r="2">
      <c r="A2" s="2" t="inlineStr">
        <is>
          <t>LC0001</t>
        </is>
      </c>
      <c r="B2" s="5" t="n">
        <v>46239</v>
      </c>
      <c r="C2" s="2" t="inlineStr">
        <is>
          <t>Receita</t>
        </is>
      </c>
      <c r="D2" s="2" t="inlineStr">
        <is>
          <t>Banco do Brasil</t>
        </is>
      </c>
      <c r="E2" s="2" t="inlineStr">
        <is>
          <t>Salario</t>
        </is>
      </c>
      <c r="F2" s="2" t="inlineStr">
        <is>
          <t>Salario mensal</t>
        </is>
      </c>
      <c r="G2" s="3" t="n">
        <v>6500</v>
      </c>
      <c r="H2" s="2" t="inlineStr">
        <is>
          <t>Transferencia</t>
        </is>
      </c>
      <c r="I2" s="2" t="n">
        <v>1</v>
      </c>
      <c r="J2" s="2" t="n">
        <v>1</v>
      </c>
      <c r="K2" s="2" t="inlineStr"/>
      <c r="L2" s="2" t="inlineStr">
        <is>
          <t>Realizado</t>
        </is>
      </c>
      <c r="M2" s="2" t="inlineStr">
        <is>
          <t>Sim</t>
        </is>
      </c>
      <c r="N2" s="2" t="inlineStr"/>
      <c r="O2">
        <f>IF(B2="","",TEXT(B2,"AAAA-MM"))</f>
        <v/>
      </c>
    </row>
    <row r="3">
      <c r="A3" s="2" t="inlineStr">
        <is>
          <t>LC0002</t>
        </is>
      </c>
      <c r="B3" s="5" t="n">
        <v>46240</v>
      </c>
      <c r="C3" s="2" t="inlineStr">
        <is>
          <t>Despesa</t>
        </is>
      </c>
      <c r="D3" s="2" t="inlineStr">
        <is>
          <t>Nubank Cartao</t>
        </is>
      </c>
      <c r="E3" s="2" t="inlineStr">
        <is>
          <t>Supermercado</t>
        </is>
      </c>
      <c r="F3" s="2" t="inlineStr">
        <is>
          <t>Compra do mes</t>
        </is>
      </c>
      <c r="G3" s="3" t="n">
        <v>780.5</v>
      </c>
      <c r="H3" s="2" t="inlineStr">
        <is>
          <t>Credito</t>
        </is>
      </c>
      <c r="I3" s="2" t="n">
        <v>1</v>
      </c>
      <c r="J3" s="2" t="n">
        <v>1</v>
      </c>
      <c r="K3" s="2" t="inlineStr"/>
      <c r="L3" s="2" t="inlineStr">
        <is>
          <t>Realizado</t>
        </is>
      </c>
      <c r="M3" s="2" t="inlineStr">
        <is>
          <t>Nao</t>
        </is>
      </c>
      <c r="N3" s="2" t="inlineStr"/>
      <c r="O3">
        <f>IF(B3="","",TEXT(B3,"AAAA-MM"))</f>
        <v/>
      </c>
    </row>
    <row r="4">
      <c r="A4" s="2" t="inlineStr">
        <is>
          <t>LC0003</t>
        </is>
      </c>
      <c r="B4" s="5" t="n">
        <v>46244</v>
      </c>
      <c r="C4" s="2" t="inlineStr">
        <is>
          <t>Despesa</t>
        </is>
      </c>
      <c r="D4" s="2" t="inlineStr">
        <is>
          <t>Itau Conta</t>
        </is>
      </c>
      <c r="E4" s="2" t="inlineStr">
        <is>
          <t>Aluguel / Financiamento</t>
        </is>
      </c>
      <c r="F4" s="2" t="inlineStr">
        <is>
          <t>Aluguel</t>
        </is>
      </c>
      <c r="G4" s="3" t="n">
        <v>2100</v>
      </c>
      <c r="H4" s="2" t="inlineStr">
        <is>
          <t>Transferencia</t>
        </is>
      </c>
      <c r="I4" s="2" t="n">
        <v>1</v>
      </c>
      <c r="J4" s="2" t="n">
        <v>1</v>
      </c>
      <c r="K4" s="2" t="inlineStr"/>
      <c r="L4" s="2" t="inlineStr">
        <is>
          <t>Realizado</t>
        </is>
      </c>
      <c r="M4" s="2" t="inlineStr">
        <is>
          <t>Sim</t>
        </is>
      </c>
      <c r="N4" s="2" t="inlineStr"/>
      <c r="O4">
        <f>IF(B4="","",TEXT(B4,"AAAA-MM"))</f>
        <v/>
      </c>
    </row>
    <row r="5">
      <c r="A5" s="2" t="inlineStr">
        <is>
          <t>LC0004</t>
        </is>
      </c>
      <c r="B5" s="5" t="n">
        <v>46249</v>
      </c>
      <c r="C5" s="2" t="inlineStr">
        <is>
          <t>Investimento</t>
        </is>
      </c>
      <c r="D5" s="2" t="inlineStr">
        <is>
          <t>Investimentos</t>
        </is>
      </c>
      <c r="E5" s="2" t="inlineStr">
        <is>
          <t>Renda Fixa (CDB, Tesouro)</t>
        </is>
      </c>
      <c r="F5" s="2" t="inlineStr">
        <is>
          <t>Aporte Tesouro Selic</t>
        </is>
      </c>
      <c r="G5" s="3" t="n">
        <v>500</v>
      </c>
      <c r="H5" s="2" t="inlineStr">
        <is>
          <t>Transferencia</t>
        </is>
      </c>
      <c r="I5" s="2" t="n">
        <v>1</v>
      </c>
      <c r="J5" s="2" t="n">
        <v>1</v>
      </c>
      <c r="K5" s="2" t="inlineStr"/>
      <c r="L5" s="2" t="inlineStr">
        <is>
          <t>Realizado</t>
        </is>
      </c>
      <c r="M5" s="2" t="inlineStr">
        <is>
          <t>Sim</t>
        </is>
      </c>
      <c r="N5" s="2" t="inlineStr"/>
      <c r="O5">
        <f>IF(B5="","",TEXT(B5,"AAAA-MM"))</f>
        <v/>
      </c>
    </row>
    <row r="6">
      <c r="A6" s="2" t="inlineStr">
        <is>
          <t>LC0005</t>
        </is>
      </c>
      <c r="B6" s="5" t="n">
        <v>46267</v>
      </c>
      <c r="C6" s="2" t="inlineStr">
        <is>
          <t>Despesa</t>
        </is>
      </c>
      <c r="D6" s="2" t="inlineStr">
        <is>
          <t>Carteira</t>
        </is>
      </c>
      <c r="E6" s="2" t="inlineStr">
        <is>
          <t>Transporte por App / Publico</t>
        </is>
      </c>
      <c r="F6" s="2" t="inlineStr">
        <is>
          <t>Taxi</t>
        </is>
      </c>
      <c r="G6" s="3" t="n">
        <v>35</v>
      </c>
      <c r="H6" s="2" t="inlineStr">
        <is>
          <t>Dinheiro</t>
        </is>
      </c>
      <c r="I6" s="2" t="n">
        <v>1</v>
      </c>
      <c r="J6" s="2" t="n">
        <v>1</v>
      </c>
      <c r="K6" s="2" t="inlineStr"/>
      <c r="L6" s="2" t="inlineStr">
        <is>
          <t>Realizado</t>
        </is>
      </c>
      <c r="M6" s="2" t="inlineStr">
        <is>
          <t>Nao</t>
        </is>
      </c>
      <c r="N6" s="2" t="inlineStr"/>
      <c r="O6">
        <f>IF(B6="","",TEXT(B6,"AAAA-MM"))</f>
        <v/>
      </c>
    </row>
    <row r="7">
      <c r="A7" s="2" t="inlineStr">
        <is>
          <t>LC0006</t>
        </is>
      </c>
      <c r="B7" s="5" t="n">
        <v>46268</v>
      </c>
      <c r="C7" s="2" t="inlineStr">
        <is>
          <t>Despesa</t>
        </is>
      </c>
      <c r="D7" s="2" t="inlineStr">
        <is>
          <t>Itau Cartao</t>
        </is>
      </c>
      <c r="E7" s="2" t="inlineStr">
        <is>
          <t>Vestuario</t>
        </is>
      </c>
      <c r="F7" s="2" t="inlineStr">
        <is>
          <t>Tenis - 1/3</t>
        </is>
      </c>
      <c r="G7" s="3" t="n">
        <v>100</v>
      </c>
      <c r="H7" s="2" t="inlineStr">
        <is>
          <t>Credito</t>
        </is>
      </c>
      <c r="I7" s="2" t="n">
        <v>1</v>
      </c>
      <c r="J7" s="2" t="n">
        <v>3</v>
      </c>
      <c r="K7" s="2" t="inlineStr">
        <is>
          <t>CP0001</t>
        </is>
      </c>
      <c r="L7" s="2" t="inlineStr">
        <is>
          <t>Realizado</t>
        </is>
      </c>
      <c r="M7" s="2" t="inlineStr">
        <is>
          <t>Nao</t>
        </is>
      </c>
      <c r="N7" s="2" t="inlineStr">
        <is>
          <t>Compra parcelada, gerada com Total_Parcelas=3</t>
        </is>
      </c>
      <c r="O7">
        <f>IF(B7="","",TEXT(B7,"AAAA-MM"))</f>
        <v/>
      </c>
    </row>
    <row r="8">
      <c r="A8" s="2" t="inlineStr">
        <is>
          <t>LC0007</t>
        </is>
      </c>
      <c r="B8" s="5" t="n">
        <v>46298</v>
      </c>
      <c r="C8" s="2" t="inlineStr">
        <is>
          <t>Despesa</t>
        </is>
      </c>
      <c r="D8" s="2" t="inlineStr">
        <is>
          <t>Itau Cartao</t>
        </is>
      </c>
      <c r="E8" s="2" t="inlineStr">
        <is>
          <t>Vestuario</t>
        </is>
      </c>
      <c r="F8" s="2" t="inlineStr">
        <is>
          <t>Tenis - 2/3</t>
        </is>
      </c>
      <c r="G8" s="3" t="n">
        <v>100</v>
      </c>
      <c r="H8" s="2" t="inlineStr">
        <is>
          <t>Credito</t>
        </is>
      </c>
      <c r="I8" s="2" t="n">
        <v>2</v>
      </c>
      <c r="J8" s="2" t="n">
        <v>3</v>
      </c>
      <c r="K8" s="2" t="inlineStr">
        <is>
          <t>CP0001</t>
        </is>
      </c>
      <c r="L8" s="2" t="inlineStr">
        <is>
          <t>Previsto</t>
        </is>
      </c>
      <c r="M8" s="2" t="inlineStr">
        <is>
          <t>Nao</t>
        </is>
      </c>
      <c r="N8" s="2" t="inlineStr">
        <is>
          <t>Gerada automaticamente pela Action do AppSheet</t>
        </is>
      </c>
      <c r="O8">
        <f>IF(B8="","",TEXT(B8,"AAAA-MM"))</f>
        <v/>
      </c>
    </row>
    <row r="9">
      <c r="A9" s="2" t="inlineStr">
        <is>
          <t>LC0008</t>
        </is>
      </c>
      <c r="B9" s="5" t="n">
        <v>46329</v>
      </c>
      <c r="C9" s="2" t="inlineStr">
        <is>
          <t>Despesa</t>
        </is>
      </c>
      <c r="D9" s="2" t="inlineStr">
        <is>
          <t>Itau Cartao</t>
        </is>
      </c>
      <c r="E9" s="2" t="inlineStr">
        <is>
          <t>Vestuario</t>
        </is>
      </c>
      <c r="F9" s="2" t="inlineStr">
        <is>
          <t>Tenis - 3/3</t>
        </is>
      </c>
      <c r="G9" s="3" t="n">
        <v>100</v>
      </c>
      <c r="H9" s="2" t="inlineStr">
        <is>
          <t>Credito</t>
        </is>
      </c>
      <c r="I9" s="2" t="n">
        <v>3</v>
      </c>
      <c r="J9" s="2" t="n">
        <v>3</v>
      </c>
      <c r="K9" s="2" t="inlineStr">
        <is>
          <t>CP0001</t>
        </is>
      </c>
      <c r="L9" s="2" t="inlineStr">
        <is>
          <t>Previsto</t>
        </is>
      </c>
      <c r="M9" s="2" t="inlineStr">
        <is>
          <t>Nao</t>
        </is>
      </c>
      <c r="N9" s="2" t="inlineStr">
        <is>
          <t>Gerada automaticamente pela Action do AppSheet</t>
        </is>
      </c>
      <c r="O9">
        <f>IF(B9="","",TEXT(B9,"AAAA-MM"))</f>
        <v/>
      </c>
    </row>
    <row r="10">
      <c r="O10">
        <f>IF(B10="","",TEXT(B10,"AAAA-MM"))</f>
        <v/>
      </c>
    </row>
    <row r="11">
      <c r="O11">
        <f>IF(B11="","",TEXT(B11,"AAAA-MM"))</f>
        <v/>
      </c>
    </row>
    <row r="12">
      <c r="O12">
        <f>IF(B12="","",TEXT(B12,"AAAA-MM"))</f>
        <v/>
      </c>
    </row>
    <row r="13">
      <c r="O13">
        <f>IF(B13="","",TEXT(B13,"AAAA-MM"))</f>
        <v/>
      </c>
    </row>
    <row r="14">
      <c r="O14">
        <f>IF(B14="","",TEXT(B14,"AAAA-MM"))</f>
        <v/>
      </c>
    </row>
    <row r="15">
      <c r="O15">
        <f>IF(B15="","",TEXT(B15,"AAAA-MM"))</f>
        <v/>
      </c>
    </row>
    <row r="16">
      <c r="O16">
        <f>IF(B16="","",TEXT(B16,"AAAA-MM"))</f>
        <v/>
      </c>
    </row>
    <row r="17">
      <c r="O17">
        <f>IF(B17="","",TEXT(B17,"AAAA-MM"))</f>
        <v/>
      </c>
    </row>
    <row r="18">
      <c r="O18">
        <f>IF(B18="","",TEXT(B18,"AAAA-MM"))</f>
        <v/>
      </c>
    </row>
    <row r="19">
      <c r="O19">
        <f>IF(B19="","",TEXT(B19,"AAAA-MM"))</f>
        <v/>
      </c>
    </row>
    <row r="20">
      <c r="O20">
        <f>IF(B20="","",TEXT(B20,"AAAA-MM"))</f>
        <v/>
      </c>
    </row>
    <row r="21">
      <c r="O21">
        <f>IF(B21="","",TEXT(B21,"AAAA-MM"))</f>
        <v/>
      </c>
    </row>
    <row r="22">
      <c r="O22">
        <f>IF(B22="","",TEXT(B22,"AAAA-MM"))</f>
        <v/>
      </c>
    </row>
    <row r="23">
      <c r="O23">
        <f>IF(B23="","",TEXT(B23,"AAAA-MM"))</f>
        <v/>
      </c>
    </row>
    <row r="24">
      <c r="O24">
        <f>IF(B24="","",TEXT(B24,"AAAA-MM"))</f>
        <v/>
      </c>
    </row>
    <row r="25">
      <c r="O25">
        <f>IF(B25="","",TEXT(B25,"AAAA-MM"))</f>
        <v/>
      </c>
    </row>
    <row r="26">
      <c r="O26">
        <f>IF(B26="","",TEXT(B26,"AAAA-MM"))</f>
        <v/>
      </c>
    </row>
    <row r="27">
      <c r="O27">
        <f>IF(B27="","",TEXT(B27,"AAAA-MM"))</f>
        <v/>
      </c>
    </row>
    <row r="28">
      <c r="O28">
        <f>IF(B28="","",TEXT(B28,"AAAA-MM"))</f>
        <v/>
      </c>
    </row>
    <row r="29">
      <c r="O29">
        <f>IF(B29="","",TEXT(B29,"AAAA-MM"))</f>
        <v/>
      </c>
    </row>
    <row r="30">
      <c r="O30">
        <f>IF(B30="","",TEXT(B30,"AAAA-MM"))</f>
        <v/>
      </c>
    </row>
    <row r="31">
      <c r="O31">
        <f>IF(B31="","",TEXT(B31,"AAAA-MM"))</f>
        <v/>
      </c>
    </row>
    <row r="32">
      <c r="O32">
        <f>IF(B32="","",TEXT(B32,"AAAA-MM"))</f>
        <v/>
      </c>
    </row>
    <row r="33">
      <c r="O33">
        <f>IF(B33="","",TEXT(B33,"AAAA-MM"))</f>
        <v/>
      </c>
    </row>
    <row r="34">
      <c r="O34">
        <f>IF(B34="","",TEXT(B34,"AAAA-MM"))</f>
        <v/>
      </c>
    </row>
    <row r="35">
      <c r="O35">
        <f>IF(B35="","",TEXT(B35,"AAAA-MM"))</f>
        <v/>
      </c>
    </row>
    <row r="36">
      <c r="O36">
        <f>IF(B36="","",TEXT(B36,"AAAA-MM"))</f>
        <v/>
      </c>
    </row>
    <row r="37">
      <c r="O37">
        <f>IF(B37="","",TEXT(B37,"AAAA-MM"))</f>
        <v/>
      </c>
    </row>
    <row r="38">
      <c r="O38">
        <f>IF(B38="","",TEXT(B38,"AAAA-MM"))</f>
        <v/>
      </c>
    </row>
    <row r="39">
      <c r="O39">
        <f>IF(B39="","",TEXT(B39,"AAAA-MM"))</f>
        <v/>
      </c>
    </row>
    <row r="40">
      <c r="O40">
        <f>IF(B40="","",TEXT(B40,"AAAA-MM"))</f>
        <v/>
      </c>
    </row>
    <row r="41">
      <c r="O41">
        <f>IF(B41="","",TEXT(B41,"AAAA-MM"))</f>
        <v/>
      </c>
    </row>
    <row r="42">
      <c r="O42">
        <f>IF(B42="","",TEXT(B42,"AAAA-MM"))</f>
        <v/>
      </c>
    </row>
    <row r="43">
      <c r="O43">
        <f>IF(B43="","",TEXT(B43,"AAAA-MM"))</f>
        <v/>
      </c>
    </row>
    <row r="44">
      <c r="O44">
        <f>IF(B44="","",TEXT(B44,"AAAA-MM"))</f>
        <v/>
      </c>
    </row>
    <row r="45">
      <c r="O45">
        <f>IF(B45="","",TEXT(B45,"AAAA-MM"))</f>
        <v/>
      </c>
    </row>
    <row r="46">
      <c r="O46">
        <f>IF(B46="","",TEXT(B46,"AAAA-MM"))</f>
        <v/>
      </c>
    </row>
    <row r="47">
      <c r="O47">
        <f>IF(B47="","",TEXT(B47,"AAAA-MM"))</f>
        <v/>
      </c>
    </row>
    <row r="48">
      <c r="O48">
        <f>IF(B48="","",TEXT(B48,"AAAA-MM"))</f>
        <v/>
      </c>
    </row>
    <row r="49">
      <c r="O49">
        <f>IF(B49="","",TEXT(B49,"AAAA-MM"))</f>
        <v/>
      </c>
    </row>
    <row r="50">
      <c r="O50">
        <f>IF(B50="","",TEXT(B50,"AAAA-MM"))</f>
        <v/>
      </c>
    </row>
    <row r="51">
      <c r="O51">
        <f>IF(B51="","",TEXT(B51,"AAAA-MM"))</f>
        <v/>
      </c>
    </row>
    <row r="52">
      <c r="O52">
        <f>IF(B52="","",TEXT(B52,"AAAA-MM"))</f>
        <v/>
      </c>
    </row>
    <row r="53">
      <c r="O53">
        <f>IF(B53="","",TEXT(B53,"AAAA-MM"))</f>
        <v/>
      </c>
    </row>
    <row r="54">
      <c r="O54">
        <f>IF(B54="","",TEXT(B54,"AAAA-MM"))</f>
        <v/>
      </c>
    </row>
    <row r="55">
      <c r="O55">
        <f>IF(B55="","",TEXT(B55,"AAAA-MM"))</f>
        <v/>
      </c>
    </row>
    <row r="56">
      <c r="O56">
        <f>IF(B56="","",TEXT(B56,"AAAA-MM"))</f>
        <v/>
      </c>
    </row>
    <row r="57">
      <c r="O57">
        <f>IF(B57="","",TEXT(B57,"AAAA-MM"))</f>
        <v/>
      </c>
    </row>
    <row r="58">
      <c r="O58">
        <f>IF(B58="","",TEXT(B58,"AAAA-MM"))</f>
        <v/>
      </c>
    </row>
    <row r="59">
      <c r="O59">
        <f>IF(B59="","",TEXT(B59,"AAAA-MM"))</f>
        <v/>
      </c>
    </row>
    <row r="60">
      <c r="O60">
        <f>IF(B60="","",TEXT(B60,"AAAA-MM"))</f>
        <v/>
      </c>
    </row>
    <row r="61">
      <c r="O61">
        <f>IF(B61="","",TEXT(B61,"AAAA-MM"))</f>
        <v/>
      </c>
    </row>
    <row r="62">
      <c r="O62">
        <f>IF(B62="","",TEXT(B62,"AAAA-MM"))</f>
        <v/>
      </c>
    </row>
    <row r="63">
      <c r="O63">
        <f>IF(B63="","",TEXT(B63,"AAAA-MM"))</f>
        <v/>
      </c>
    </row>
    <row r="64">
      <c r="O64">
        <f>IF(B64="","",TEXT(B64,"AAAA-MM"))</f>
        <v/>
      </c>
    </row>
    <row r="65">
      <c r="O65">
        <f>IF(B65="","",TEXT(B65,"AAAA-MM"))</f>
        <v/>
      </c>
    </row>
    <row r="66">
      <c r="O66">
        <f>IF(B66="","",TEXT(B66,"AAAA-MM"))</f>
        <v/>
      </c>
    </row>
    <row r="67">
      <c r="O67">
        <f>IF(B67="","",TEXT(B67,"AAAA-MM"))</f>
        <v/>
      </c>
    </row>
    <row r="68">
      <c r="O68">
        <f>IF(B68="","",TEXT(B68,"AAAA-MM"))</f>
        <v/>
      </c>
    </row>
    <row r="69">
      <c r="O69">
        <f>IF(B69="","",TEXT(B69,"AAAA-MM"))</f>
        <v/>
      </c>
    </row>
    <row r="70">
      <c r="O70">
        <f>IF(B70="","",TEXT(B70,"AAAA-MM"))</f>
        <v/>
      </c>
    </row>
    <row r="71">
      <c r="O71">
        <f>IF(B71="","",TEXT(B71,"AAAA-MM"))</f>
        <v/>
      </c>
    </row>
    <row r="72">
      <c r="O72">
        <f>IF(B72="","",TEXT(B72,"AAAA-MM"))</f>
        <v/>
      </c>
    </row>
    <row r="73">
      <c r="O73">
        <f>IF(B73="","",TEXT(B73,"AAAA-MM"))</f>
        <v/>
      </c>
    </row>
    <row r="74">
      <c r="O74">
        <f>IF(B74="","",TEXT(B74,"AAAA-MM"))</f>
        <v/>
      </c>
    </row>
    <row r="75">
      <c r="O75">
        <f>IF(B75="","",TEXT(B75,"AAAA-MM"))</f>
        <v/>
      </c>
    </row>
    <row r="76">
      <c r="O76">
        <f>IF(B76="","",TEXT(B76,"AAAA-MM"))</f>
        <v/>
      </c>
    </row>
    <row r="77">
      <c r="O77">
        <f>IF(B77="","",TEXT(B77,"AAAA-MM"))</f>
        <v/>
      </c>
    </row>
    <row r="78">
      <c r="O78">
        <f>IF(B78="","",TEXT(B78,"AAAA-MM"))</f>
        <v/>
      </c>
    </row>
    <row r="79">
      <c r="O79">
        <f>IF(B79="","",TEXT(B79,"AAAA-MM"))</f>
        <v/>
      </c>
    </row>
    <row r="80">
      <c r="O80">
        <f>IF(B80="","",TEXT(B80,"AAAA-MM"))</f>
        <v/>
      </c>
    </row>
    <row r="81">
      <c r="O81">
        <f>IF(B81="","",TEXT(B81,"AAAA-MM"))</f>
        <v/>
      </c>
    </row>
    <row r="82">
      <c r="O82">
        <f>IF(B82="","",TEXT(B82,"AAAA-MM"))</f>
        <v/>
      </c>
    </row>
    <row r="83">
      <c r="O83">
        <f>IF(B83="","",TEXT(B83,"AAAA-MM"))</f>
        <v/>
      </c>
    </row>
    <row r="84">
      <c r="O84">
        <f>IF(B84="","",TEXT(B84,"AAAA-MM"))</f>
        <v/>
      </c>
    </row>
    <row r="85">
      <c r="O85">
        <f>IF(B85="","",TEXT(B85,"AAAA-MM"))</f>
        <v/>
      </c>
    </row>
    <row r="86">
      <c r="O86">
        <f>IF(B86="","",TEXT(B86,"AAAA-MM"))</f>
        <v/>
      </c>
    </row>
    <row r="87">
      <c r="O87">
        <f>IF(B87="","",TEXT(B87,"AAAA-MM"))</f>
        <v/>
      </c>
    </row>
    <row r="88">
      <c r="O88">
        <f>IF(B88="","",TEXT(B88,"AAAA-MM"))</f>
        <v/>
      </c>
    </row>
    <row r="89">
      <c r="O89">
        <f>IF(B89="","",TEXT(B89,"AAAA-MM"))</f>
        <v/>
      </c>
    </row>
    <row r="90">
      <c r="O90">
        <f>IF(B90="","",TEXT(B90,"AAAA-MM"))</f>
        <v/>
      </c>
    </row>
    <row r="91">
      <c r="O91">
        <f>IF(B91="","",TEXT(B91,"AAAA-MM"))</f>
        <v/>
      </c>
    </row>
    <row r="92">
      <c r="O92">
        <f>IF(B92="","",TEXT(B92,"AAAA-MM"))</f>
        <v/>
      </c>
    </row>
    <row r="93">
      <c r="O93">
        <f>IF(B93="","",TEXT(B93,"AAAA-MM"))</f>
        <v/>
      </c>
    </row>
    <row r="94">
      <c r="O94">
        <f>IF(B94="","",TEXT(B94,"AAAA-MM"))</f>
        <v/>
      </c>
    </row>
    <row r="95">
      <c r="O95">
        <f>IF(B95="","",TEXT(B95,"AAAA-MM"))</f>
        <v/>
      </c>
    </row>
    <row r="96">
      <c r="O96">
        <f>IF(B96="","",TEXT(B96,"AAAA-MM"))</f>
        <v/>
      </c>
    </row>
    <row r="97">
      <c r="O97">
        <f>IF(B97="","",TEXT(B97,"AAAA-MM"))</f>
        <v/>
      </c>
    </row>
    <row r="98">
      <c r="O98">
        <f>IF(B98="","",TEXT(B98,"AAAA-MM"))</f>
        <v/>
      </c>
    </row>
    <row r="99">
      <c r="O99">
        <f>IF(B99="","",TEXT(B99,"AAAA-MM"))</f>
        <v/>
      </c>
    </row>
    <row r="100">
      <c r="O100">
        <f>IF(B100="","",TEXT(B100,"AAAA-MM"))</f>
        <v/>
      </c>
    </row>
    <row r="101">
      <c r="O101">
        <f>IF(B101="","",TEXT(B101,"AAAA-MM"))</f>
        <v/>
      </c>
    </row>
    <row r="102">
      <c r="O102">
        <f>IF(B102="","",TEXT(B102,"AAAA-MM"))</f>
        <v/>
      </c>
    </row>
    <row r="103">
      <c r="O103">
        <f>IF(B103="","",TEXT(B103,"AAAA-MM"))</f>
        <v/>
      </c>
    </row>
    <row r="104">
      <c r="O104">
        <f>IF(B104="","",TEXT(B104,"AAAA-MM"))</f>
        <v/>
      </c>
    </row>
    <row r="105">
      <c r="O105">
        <f>IF(B105="","",TEXT(B105,"AAAA-MM"))</f>
        <v/>
      </c>
    </row>
    <row r="106">
      <c r="O106">
        <f>IF(B106="","",TEXT(B106,"AAAA-MM"))</f>
        <v/>
      </c>
    </row>
    <row r="107">
      <c r="O107">
        <f>IF(B107="","",TEXT(B107,"AAAA-MM"))</f>
        <v/>
      </c>
    </row>
    <row r="108">
      <c r="O108">
        <f>IF(B108="","",TEXT(B108,"AAAA-MM"))</f>
        <v/>
      </c>
    </row>
    <row r="109">
      <c r="O109">
        <f>IF(B109="","",TEXT(B109,"AAAA-MM"))</f>
        <v/>
      </c>
    </row>
    <row r="110">
      <c r="O110">
        <f>IF(B110="","",TEXT(B110,"AAAA-MM"))</f>
        <v/>
      </c>
    </row>
    <row r="111">
      <c r="O111">
        <f>IF(B111="","",TEXT(B111,"AAAA-MM"))</f>
        <v/>
      </c>
    </row>
    <row r="112">
      <c r="O112">
        <f>IF(B112="","",TEXT(B112,"AAAA-MM"))</f>
        <v/>
      </c>
    </row>
    <row r="113">
      <c r="O113">
        <f>IF(B113="","",TEXT(B113,"AAAA-MM"))</f>
        <v/>
      </c>
    </row>
    <row r="114">
      <c r="O114">
        <f>IF(B114="","",TEXT(B114,"AAAA-MM"))</f>
        <v/>
      </c>
    </row>
    <row r="115">
      <c r="O115">
        <f>IF(B115="","",TEXT(B115,"AAAA-MM"))</f>
        <v/>
      </c>
    </row>
    <row r="116">
      <c r="O116">
        <f>IF(B116="","",TEXT(B116,"AAAA-MM"))</f>
        <v/>
      </c>
    </row>
    <row r="117">
      <c r="O117">
        <f>IF(B117="","",TEXT(B117,"AAAA-MM"))</f>
        <v/>
      </c>
    </row>
    <row r="118">
      <c r="O118">
        <f>IF(B118="","",TEXT(B118,"AAAA-MM"))</f>
        <v/>
      </c>
    </row>
    <row r="119">
      <c r="O119">
        <f>IF(B119="","",TEXT(B119,"AAAA-MM"))</f>
        <v/>
      </c>
    </row>
    <row r="120">
      <c r="O120">
        <f>IF(B120="","",TEXT(B120,"AAAA-MM"))</f>
        <v/>
      </c>
    </row>
    <row r="121">
      <c r="O121">
        <f>IF(B121="","",TEXT(B121,"AAAA-MM"))</f>
        <v/>
      </c>
    </row>
    <row r="122">
      <c r="O122">
        <f>IF(B122="","",TEXT(B122,"AAAA-MM"))</f>
        <v/>
      </c>
    </row>
    <row r="123">
      <c r="O123">
        <f>IF(B123="","",TEXT(B123,"AAAA-MM"))</f>
        <v/>
      </c>
    </row>
    <row r="124">
      <c r="O124">
        <f>IF(B124="","",TEXT(B124,"AAAA-MM"))</f>
        <v/>
      </c>
    </row>
    <row r="125">
      <c r="O125">
        <f>IF(B125="","",TEXT(B125,"AAAA-MM"))</f>
        <v/>
      </c>
    </row>
    <row r="126">
      <c r="O126">
        <f>IF(B126="","",TEXT(B126,"AAAA-MM"))</f>
        <v/>
      </c>
    </row>
    <row r="127">
      <c r="O127">
        <f>IF(B127="","",TEXT(B127,"AAAA-MM"))</f>
        <v/>
      </c>
    </row>
    <row r="128">
      <c r="O128">
        <f>IF(B128="","",TEXT(B128,"AAAA-MM"))</f>
        <v/>
      </c>
    </row>
    <row r="129">
      <c r="O129">
        <f>IF(B129="","",TEXT(B129,"AAAA-MM"))</f>
        <v/>
      </c>
    </row>
    <row r="130">
      <c r="O130">
        <f>IF(B130="","",TEXT(B130,"AAAA-MM"))</f>
        <v/>
      </c>
    </row>
    <row r="131">
      <c r="O131">
        <f>IF(B131="","",TEXT(B131,"AAAA-MM"))</f>
        <v/>
      </c>
    </row>
    <row r="132">
      <c r="O132">
        <f>IF(B132="","",TEXT(B132,"AAAA-MM"))</f>
        <v/>
      </c>
    </row>
    <row r="133">
      <c r="O133">
        <f>IF(B133="","",TEXT(B133,"AAAA-MM"))</f>
        <v/>
      </c>
    </row>
    <row r="134">
      <c r="O134">
        <f>IF(B134="","",TEXT(B134,"AAAA-MM"))</f>
        <v/>
      </c>
    </row>
    <row r="135">
      <c r="O135">
        <f>IF(B135="","",TEXT(B135,"AAAA-MM"))</f>
        <v/>
      </c>
    </row>
    <row r="136">
      <c r="O136">
        <f>IF(B136="","",TEXT(B136,"AAAA-MM"))</f>
        <v/>
      </c>
    </row>
    <row r="137">
      <c r="O137">
        <f>IF(B137="","",TEXT(B137,"AAAA-MM"))</f>
        <v/>
      </c>
    </row>
    <row r="138">
      <c r="O138">
        <f>IF(B138="","",TEXT(B138,"AAAA-MM"))</f>
        <v/>
      </c>
    </row>
    <row r="139">
      <c r="O139">
        <f>IF(B139="","",TEXT(B139,"AAAA-MM"))</f>
        <v/>
      </c>
    </row>
    <row r="140">
      <c r="O140">
        <f>IF(B140="","",TEXT(B140,"AAAA-MM"))</f>
        <v/>
      </c>
    </row>
    <row r="141">
      <c r="O141">
        <f>IF(B141="","",TEXT(B141,"AAAA-MM"))</f>
        <v/>
      </c>
    </row>
    <row r="142">
      <c r="O142">
        <f>IF(B142="","",TEXT(B142,"AAAA-MM"))</f>
        <v/>
      </c>
    </row>
    <row r="143">
      <c r="O143">
        <f>IF(B143="","",TEXT(B143,"AAAA-MM"))</f>
        <v/>
      </c>
    </row>
    <row r="144">
      <c r="O144">
        <f>IF(B144="","",TEXT(B144,"AAAA-MM"))</f>
        <v/>
      </c>
    </row>
    <row r="145">
      <c r="O145">
        <f>IF(B145="","",TEXT(B145,"AAAA-MM"))</f>
        <v/>
      </c>
    </row>
    <row r="146">
      <c r="O146">
        <f>IF(B146="","",TEXT(B146,"AAAA-MM"))</f>
        <v/>
      </c>
    </row>
    <row r="147">
      <c r="O147">
        <f>IF(B147="","",TEXT(B147,"AAAA-MM"))</f>
        <v/>
      </c>
    </row>
    <row r="148">
      <c r="O148">
        <f>IF(B148="","",TEXT(B148,"AAAA-MM"))</f>
        <v/>
      </c>
    </row>
    <row r="149">
      <c r="O149">
        <f>IF(B149="","",TEXT(B149,"AAAA-MM"))</f>
        <v/>
      </c>
    </row>
    <row r="150">
      <c r="O150">
        <f>IF(B150="","",TEXT(B150,"AAAA-MM"))</f>
        <v/>
      </c>
    </row>
    <row r="151">
      <c r="O151">
        <f>IF(B151="","",TEXT(B151,"AAAA-MM"))</f>
        <v/>
      </c>
    </row>
    <row r="152">
      <c r="O152">
        <f>IF(B152="","",TEXT(B152,"AAAA-MM"))</f>
        <v/>
      </c>
    </row>
    <row r="153">
      <c r="O153">
        <f>IF(B153="","",TEXT(B153,"AAAA-MM"))</f>
        <v/>
      </c>
    </row>
    <row r="154">
      <c r="O154">
        <f>IF(B154="","",TEXT(B154,"AAAA-MM"))</f>
        <v/>
      </c>
    </row>
    <row r="155">
      <c r="O155">
        <f>IF(B155="","",TEXT(B155,"AAAA-MM"))</f>
        <v/>
      </c>
    </row>
    <row r="156">
      <c r="O156">
        <f>IF(B156="","",TEXT(B156,"AAAA-MM"))</f>
        <v/>
      </c>
    </row>
    <row r="157">
      <c r="O157">
        <f>IF(B157="","",TEXT(B157,"AAAA-MM"))</f>
        <v/>
      </c>
    </row>
    <row r="158">
      <c r="O158">
        <f>IF(B158="","",TEXT(B158,"AAAA-MM"))</f>
        <v/>
      </c>
    </row>
    <row r="159">
      <c r="O159">
        <f>IF(B159="","",TEXT(B159,"AAAA-MM"))</f>
        <v/>
      </c>
    </row>
    <row r="160">
      <c r="O160">
        <f>IF(B160="","",TEXT(B160,"AAAA-MM"))</f>
        <v/>
      </c>
    </row>
    <row r="161">
      <c r="O161">
        <f>IF(B161="","",TEXT(B161,"AAAA-MM"))</f>
        <v/>
      </c>
    </row>
    <row r="162">
      <c r="O162">
        <f>IF(B162="","",TEXT(B162,"AAAA-MM"))</f>
        <v/>
      </c>
    </row>
    <row r="163">
      <c r="O163">
        <f>IF(B163="","",TEXT(B163,"AAAA-MM"))</f>
        <v/>
      </c>
    </row>
    <row r="164">
      <c r="O164">
        <f>IF(B164="","",TEXT(B164,"AAAA-MM"))</f>
        <v/>
      </c>
    </row>
    <row r="165">
      <c r="O165">
        <f>IF(B165="","",TEXT(B165,"AAAA-MM"))</f>
        <v/>
      </c>
    </row>
    <row r="166">
      <c r="O166">
        <f>IF(B166="","",TEXT(B166,"AAAA-MM"))</f>
        <v/>
      </c>
    </row>
    <row r="167">
      <c r="O167">
        <f>IF(B167="","",TEXT(B167,"AAAA-MM"))</f>
        <v/>
      </c>
    </row>
    <row r="168">
      <c r="O168">
        <f>IF(B168="","",TEXT(B168,"AAAA-MM"))</f>
        <v/>
      </c>
    </row>
    <row r="169">
      <c r="O169">
        <f>IF(B169="","",TEXT(B169,"AAAA-MM"))</f>
        <v/>
      </c>
    </row>
    <row r="170">
      <c r="O170">
        <f>IF(B170="","",TEXT(B170,"AAAA-MM"))</f>
        <v/>
      </c>
    </row>
    <row r="171">
      <c r="O171">
        <f>IF(B171="","",TEXT(B171,"AAAA-MM"))</f>
        <v/>
      </c>
    </row>
    <row r="172">
      <c r="O172">
        <f>IF(B172="","",TEXT(B172,"AAAA-MM"))</f>
        <v/>
      </c>
    </row>
    <row r="173">
      <c r="O173">
        <f>IF(B173="","",TEXT(B173,"AAAA-MM"))</f>
        <v/>
      </c>
    </row>
    <row r="174">
      <c r="O174">
        <f>IF(B174="","",TEXT(B174,"AAAA-MM"))</f>
        <v/>
      </c>
    </row>
    <row r="175">
      <c r="O175">
        <f>IF(B175="","",TEXT(B175,"AAAA-MM"))</f>
        <v/>
      </c>
    </row>
    <row r="176">
      <c r="O176">
        <f>IF(B176="","",TEXT(B176,"AAAA-MM"))</f>
        <v/>
      </c>
    </row>
    <row r="177">
      <c r="O177">
        <f>IF(B177="","",TEXT(B177,"AAAA-MM"))</f>
        <v/>
      </c>
    </row>
    <row r="178">
      <c r="O178">
        <f>IF(B178="","",TEXT(B178,"AAAA-MM"))</f>
        <v/>
      </c>
    </row>
    <row r="179">
      <c r="O179">
        <f>IF(B179="","",TEXT(B179,"AAAA-MM"))</f>
        <v/>
      </c>
    </row>
    <row r="180">
      <c r="O180">
        <f>IF(B180="","",TEXT(B180,"AAAA-MM"))</f>
        <v/>
      </c>
    </row>
    <row r="181">
      <c r="O181">
        <f>IF(B181="","",TEXT(B181,"AAAA-MM"))</f>
        <v/>
      </c>
    </row>
    <row r="182">
      <c r="O182">
        <f>IF(B182="","",TEXT(B182,"AAAA-MM"))</f>
        <v/>
      </c>
    </row>
    <row r="183">
      <c r="O183">
        <f>IF(B183="","",TEXT(B183,"AAAA-MM"))</f>
        <v/>
      </c>
    </row>
    <row r="184">
      <c r="O184">
        <f>IF(B184="","",TEXT(B184,"AAAA-MM"))</f>
        <v/>
      </c>
    </row>
    <row r="185">
      <c r="O185">
        <f>IF(B185="","",TEXT(B185,"AAAA-MM"))</f>
        <v/>
      </c>
    </row>
    <row r="186">
      <c r="O186">
        <f>IF(B186="","",TEXT(B186,"AAAA-MM"))</f>
        <v/>
      </c>
    </row>
    <row r="187">
      <c r="O187">
        <f>IF(B187="","",TEXT(B187,"AAAA-MM"))</f>
        <v/>
      </c>
    </row>
    <row r="188">
      <c r="O188">
        <f>IF(B188="","",TEXT(B188,"AAAA-MM"))</f>
        <v/>
      </c>
    </row>
    <row r="189">
      <c r="O189">
        <f>IF(B189="","",TEXT(B189,"AAAA-MM"))</f>
        <v/>
      </c>
    </row>
    <row r="190">
      <c r="O190">
        <f>IF(B190="","",TEXT(B190,"AAAA-MM"))</f>
        <v/>
      </c>
    </row>
    <row r="191">
      <c r="O191">
        <f>IF(B191="","",TEXT(B191,"AAAA-MM"))</f>
        <v/>
      </c>
    </row>
    <row r="192">
      <c r="O192">
        <f>IF(B192="","",TEXT(B192,"AAAA-MM"))</f>
        <v/>
      </c>
    </row>
    <row r="193">
      <c r="O193">
        <f>IF(B193="","",TEXT(B193,"AAAA-MM"))</f>
        <v/>
      </c>
    </row>
    <row r="194">
      <c r="O194">
        <f>IF(B194="","",TEXT(B194,"AAAA-MM"))</f>
        <v/>
      </c>
    </row>
    <row r="195">
      <c r="O195">
        <f>IF(B195="","",TEXT(B195,"AAAA-MM"))</f>
        <v/>
      </c>
    </row>
    <row r="196">
      <c r="O196">
        <f>IF(B196="","",TEXT(B196,"AAAA-MM"))</f>
        <v/>
      </c>
    </row>
    <row r="197">
      <c r="O197">
        <f>IF(B197="","",TEXT(B197,"AAAA-MM"))</f>
        <v/>
      </c>
    </row>
    <row r="198">
      <c r="O198">
        <f>IF(B198="","",TEXT(B198,"AAAA-MM"))</f>
        <v/>
      </c>
    </row>
    <row r="199">
      <c r="O199">
        <f>IF(B199="","",TEXT(B199,"AAAA-MM"))</f>
        <v/>
      </c>
    </row>
    <row r="200">
      <c r="O200">
        <f>IF(B200="","",TEXT(B200,"AAAA-MM"))</f>
        <v/>
      </c>
    </row>
    <row r="201">
      <c r="O201">
        <f>IF(B201="","",TEXT(B201,"AAAA-MM"))</f>
        <v/>
      </c>
    </row>
    <row r="202">
      <c r="O202">
        <f>IF(B202="","",TEXT(B202,"AAAA-MM"))</f>
        <v/>
      </c>
    </row>
    <row r="203">
      <c r="O203">
        <f>IF(B203="","",TEXT(B203,"AAAA-MM"))</f>
        <v/>
      </c>
    </row>
    <row r="204">
      <c r="O204">
        <f>IF(B204="","",TEXT(B204,"AAAA-MM"))</f>
        <v/>
      </c>
    </row>
    <row r="205">
      <c r="O205">
        <f>IF(B205="","",TEXT(B205,"AAAA-MM"))</f>
        <v/>
      </c>
    </row>
    <row r="206">
      <c r="O206">
        <f>IF(B206="","",TEXT(B206,"AAAA-MM"))</f>
        <v/>
      </c>
    </row>
    <row r="207">
      <c r="O207">
        <f>IF(B207="","",TEXT(B207,"AAAA-MM"))</f>
        <v/>
      </c>
    </row>
    <row r="208">
      <c r="O208">
        <f>IF(B208="","",TEXT(B208,"AAAA-MM"))</f>
        <v/>
      </c>
    </row>
    <row r="209">
      <c r="O209">
        <f>IF(B209="","",TEXT(B209,"AAAA-MM"))</f>
        <v/>
      </c>
    </row>
    <row r="210">
      <c r="O210">
        <f>IF(B210="","",TEXT(B210,"AAAA-MM"))</f>
        <v/>
      </c>
    </row>
    <row r="211">
      <c r="O211">
        <f>IF(B211="","",TEXT(B211,"AAAA-MM"))</f>
        <v/>
      </c>
    </row>
    <row r="212">
      <c r="O212">
        <f>IF(B212="","",TEXT(B212,"AAAA-MM"))</f>
        <v/>
      </c>
    </row>
    <row r="213">
      <c r="O213">
        <f>IF(B213="","",TEXT(B213,"AAAA-MM"))</f>
        <v/>
      </c>
    </row>
    <row r="214">
      <c r="O214">
        <f>IF(B214="","",TEXT(B214,"AAAA-MM"))</f>
        <v/>
      </c>
    </row>
    <row r="215">
      <c r="O215">
        <f>IF(B215="","",TEXT(B215,"AAAA-MM"))</f>
        <v/>
      </c>
    </row>
    <row r="216">
      <c r="O216">
        <f>IF(B216="","",TEXT(B216,"AAAA-MM"))</f>
        <v/>
      </c>
    </row>
    <row r="217">
      <c r="O217">
        <f>IF(B217="","",TEXT(B217,"AAAA-MM"))</f>
        <v/>
      </c>
    </row>
    <row r="218">
      <c r="O218">
        <f>IF(B218="","",TEXT(B218,"AAAA-MM"))</f>
        <v/>
      </c>
    </row>
    <row r="219">
      <c r="O219">
        <f>IF(B219="","",TEXT(B219,"AAAA-MM"))</f>
        <v/>
      </c>
    </row>
    <row r="220">
      <c r="O220">
        <f>IF(B220="","",TEXT(B220,"AAAA-MM"))</f>
        <v/>
      </c>
    </row>
    <row r="221">
      <c r="O221">
        <f>IF(B221="","",TEXT(B221,"AAAA-MM"))</f>
        <v/>
      </c>
    </row>
    <row r="222">
      <c r="O222">
        <f>IF(B222="","",TEXT(B222,"AAAA-MM"))</f>
        <v/>
      </c>
    </row>
    <row r="223">
      <c r="O223">
        <f>IF(B223="","",TEXT(B223,"AAAA-MM"))</f>
        <v/>
      </c>
    </row>
    <row r="224">
      <c r="O224">
        <f>IF(B224="","",TEXT(B224,"AAAA-MM"))</f>
        <v/>
      </c>
    </row>
    <row r="225">
      <c r="O225">
        <f>IF(B225="","",TEXT(B225,"AAAA-MM"))</f>
        <v/>
      </c>
    </row>
    <row r="226">
      <c r="O226">
        <f>IF(B226="","",TEXT(B226,"AAAA-MM"))</f>
        <v/>
      </c>
    </row>
    <row r="227">
      <c r="O227">
        <f>IF(B227="","",TEXT(B227,"AAAA-MM"))</f>
        <v/>
      </c>
    </row>
    <row r="228">
      <c r="O228">
        <f>IF(B228="","",TEXT(B228,"AAAA-MM"))</f>
        <v/>
      </c>
    </row>
    <row r="229">
      <c r="O229">
        <f>IF(B229="","",TEXT(B229,"AAAA-MM"))</f>
        <v/>
      </c>
    </row>
    <row r="230">
      <c r="O230">
        <f>IF(B230="","",TEXT(B230,"AAAA-MM"))</f>
        <v/>
      </c>
    </row>
    <row r="231">
      <c r="O231">
        <f>IF(B231="","",TEXT(B231,"AAAA-MM"))</f>
        <v/>
      </c>
    </row>
    <row r="232">
      <c r="O232">
        <f>IF(B232="","",TEXT(B232,"AAAA-MM"))</f>
        <v/>
      </c>
    </row>
    <row r="233">
      <c r="O233">
        <f>IF(B233="","",TEXT(B233,"AAAA-MM"))</f>
        <v/>
      </c>
    </row>
    <row r="234">
      <c r="O234">
        <f>IF(B234="","",TEXT(B234,"AAAA-MM"))</f>
        <v/>
      </c>
    </row>
    <row r="235">
      <c r="O235">
        <f>IF(B235="","",TEXT(B235,"AAAA-MM"))</f>
        <v/>
      </c>
    </row>
    <row r="236">
      <c r="O236">
        <f>IF(B236="","",TEXT(B236,"AAAA-MM"))</f>
        <v/>
      </c>
    </row>
    <row r="237">
      <c r="O237">
        <f>IF(B237="","",TEXT(B237,"AAAA-MM"))</f>
        <v/>
      </c>
    </row>
    <row r="238">
      <c r="O238">
        <f>IF(B238="","",TEXT(B238,"AAAA-MM"))</f>
        <v/>
      </c>
    </row>
    <row r="239">
      <c r="O239">
        <f>IF(B239="","",TEXT(B239,"AAAA-MM"))</f>
        <v/>
      </c>
    </row>
    <row r="240">
      <c r="O240">
        <f>IF(B240="","",TEXT(B240,"AAAA-MM"))</f>
        <v/>
      </c>
    </row>
    <row r="241">
      <c r="O241">
        <f>IF(B241="","",TEXT(B241,"AAAA-MM"))</f>
        <v/>
      </c>
    </row>
    <row r="242">
      <c r="O242">
        <f>IF(B242="","",TEXT(B242,"AAAA-MM"))</f>
        <v/>
      </c>
    </row>
    <row r="243">
      <c r="O243">
        <f>IF(B243="","",TEXT(B243,"AAAA-MM"))</f>
        <v/>
      </c>
    </row>
    <row r="244">
      <c r="O244">
        <f>IF(B244="","",TEXT(B244,"AAAA-MM"))</f>
        <v/>
      </c>
    </row>
    <row r="245">
      <c r="O245">
        <f>IF(B245="","",TEXT(B245,"AAAA-MM"))</f>
        <v/>
      </c>
    </row>
    <row r="246">
      <c r="O246">
        <f>IF(B246="","",TEXT(B246,"AAAA-MM"))</f>
        <v/>
      </c>
    </row>
    <row r="247">
      <c r="O247">
        <f>IF(B247="","",TEXT(B247,"AAAA-MM"))</f>
        <v/>
      </c>
    </row>
    <row r="248">
      <c r="O248">
        <f>IF(B248="","",TEXT(B248,"AAAA-MM"))</f>
        <v/>
      </c>
    </row>
    <row r="249">
      <c r="O249">
        <f>IF(B249="","",TEXT(B249,"AAAA-MM"))</f>
        <v/>
      </c>
    </row>
    <row r="250">
      <c r="O250">
        <f>IF(B250="","",TEXT(B250,"AAAA-MM"))</f>
        <v/>
      </c>
    </row>
    <row r="251">
      <c r="O251">
        <f>IF(B251="","",TEXT(B251,"AAAA-MM"))</f>
        <v/>
      </c>
    </row>
    <row r="252">
      <c r="O252">
        <f>IF(B252="","",TEXT(B252,"AAAA-MM"))</f>
        <v/>
      </c>
    </row>
    <row r="253">
      <c r="O253">
        <f>IF(B253="","",TEXT(B253,"AAAA-MM"))</f>
        <v/>
      </c>
    </row>
    <row r="254">
      <c r="O254">
        <f>IF(B254="","",TEXT(B254,"AAAA-MM"))</f>
        <v/>
      </c>
    </row>
    <row r="255">
      <c r="O255">
        <f>IF(B255="","",TEXT(B255,"AAAA-MM"))</f>
        <v/>
      </c>
    </row>
    <row r="256">
      <c r="O256">
        <f>IF(B256="","",TEXT(B256,"AAAA-MM"))</f>
        <v/>
      </c>
    </row>
    <row r="257">
      <c r="O257">
        <f>IF(B257="","",TEXT(B257,"AAAA-MM"))</f>
        <v/>
      </c>
    </row>
    <row r="258">
      <c r="O258">
        <f>IF(B258="","",TEXT(B258,"AAAA-MM"))</f>
        <v/>
      </c>
    </row>
    <row r="259">
      <c r="O259">
        <f>IF(B259="","",TEXT(B259,"AAAA-MM"))</f>
        <v/>
      </c>
    </row>
    <row r="260">
      <c r="O260">
        <f>IF(B260="","",TEXT(B260,"AAAA-MM"))</f>
        <v/>
      </c>
    </row>
    <row r="261">
      <c r="O261">
        <f>IF(B261="","",TEXT(B261,"AAAA-MM"))</f>
        <v/>
      </c>
    </row>
    <row r="262">
      <c r="O262">
        <f>IF(B262="","",TEXT(B262,"AAAA-MM"))</f>
        <v/>
      </c>
    </row>
    <row r="263">
      <c r="O263">
        <f>IF(B263="","",TEXT(B263,"AAAA-MM"))</f>
        <v/>
      </c>
    </row>
    <row r="264">
      <c r="O264">
        <f>IF(B264="","",TEXT(B264,"AAAA-MM"))</f>
        <v/>
      </c>
    </row>
    <row r="265">
      <c r="O265">
        <f>IF(B265="","",TEXT(B265,"AAAA-MM"))</f>
        <v/>
      </c>
    </row>
    <row r="266">
      <c r="O266">
        <f>IF(B266="","",TEXT(B266,"AAAA-MM"))</f>
        <v/>
      </c>
    </row>
    <row r="267">
      <c r="O267">
        <f>IF(B267="","",TEXT(B267,"AAAA-MM"))</f>
        <v/>
      </c>
    </row>
    <row r="268">
      <c r="O268">
        <f>IF(B268="","",TEXT(B268,"AAAA-MM"))</f>
        <v/>
      </c>
    </row>
    <row r="269">
      <c r="O269">
        <f>IF(B269="","",TEXT(B269,"AAAA-MM"))</f>
        <v/>
      </c>
    </row>
    <row r="270">
      <c r="O270">
        <f>IF(B270="","",TEXT(B270,"AAAA-MM"))</f>
        <v/>
      </c>
    </row>
    <row r="271">
      <c r="O271">
        <f>IF(B271="","",TEXT(B271,"AAAA-MM"))</f>
        <v/>
      </c>
    </row>
    <row r="272">
      <c r="O272">
        <f>IF(B272="","",TEXT(B272,"AAAA-MM"))</f>
        <v/>
      </c>
    </row>
    <row r="273">
      <c r="O273">
        <f>IF(B273="","",TEXT(B273,"AAAA-MM"))</f>
        <v/>
      </c>
    </row>
    <row r="274">
      <c r="O274">
        <f>IF(B274="","",TEXT(B274,"AAAA-MM"))</f>
        <v/>
      </c>
    </row>
    <row r="275">
      <c r="O275">
        <f>IF(B275="","",TEXT(B275,"AAAA-MM"))</f>
        <v/>
      </c>
    </row>
    <row r="276">
      <c r="O276">
        <f>IF(B276="","",TEXT(B276,"AAAA-MM"))</f>
        <v/>
      </c>
    </row>
    <row r="277">
      <c r="O277">
        <f>IF(B277="","",TEXT(B277,"AAAA-MM"))</f>
        <v/>
      </c>
    </row>
    <row r="278">
      <c r="O278">
        <f>IF(B278="","",TEXT(B278,"AAAA-MM"))</f>
        <v/>
      </c>
    </row>
    <row r="279">
      <c r="O279">
        <f>IF(B279="","",TEXT(B279,"AAAA-MM"))</f>
        <v/>
      </c>
    </row>
    <row r="280">
      <c r="O280">
        <f>IF(B280="","",TEXT(B280,"AAAA-MM"))</f>
        <v/>
      </c>
    </row>
    <row r="281">
      <c r="O281">
        <f>IF(B281="","",TEXT(B281,"AAAA-MM"))</f>
        <v/>
      </c>
    </row>
    <row r="282">
      <c r="O282">
        <f>IF(B282="","",TEXT(B282,"AAAA-MM"))</f>
        <v/>
      </c>
    </row>
    <row r="283">
      <c r="O283">
        <f>IF(B283="","",TEXT(B283,"AAAA-MM"))</f>
        <v/>
      </c>
    </row>
    <row r="284">
      <c r="O284">
        <f>IF(B284="","",TEXT(B284,"AAAA-MM"))</f>
        <v/>
      </c>
    </row>
    <row r="285">
      <c r="O285">
        <f>IF(B285="","",TEXT(B285,"AAAA-MM"))</f>
        <v/>
      </c>
    </row>
    <row r="286">
      <c r="O286">
        <f>IF(B286="","",TEXT(B286,"AAAA-MM"))</f>
        <v/>
      </c>
    </row>
    <row r="287">
      <c r="O287">
        <f>IF(B287="","",TEXT(B287,"AAAA-MM"))</f>
        <v/>
      </c>
    </row>
    <row r="288">
      <c r="O288">
        <f>IF(B288="","",TEXT(B288,"AAAA-MM"))</f>
        <v/>
      </c>
    </row>
    <row r="289">
      <c r="O289">
        <f>IF(B289="","",TEXT(B289,"AAAA-MM"))</f>
        <v/>
      </c>
    </row>
    <row r="290">
      <c r="O290">
        <f>IF(B290="","",TEXT(B290,"AAAA-MM"))</f>
        <v/>
      </c>
    </row>
    <row r="291">
      <c r="O291">
        <f>IF(B291="","",TEXT(B291,"AAAA-MM"))</f>
        <v/>
      </c>
    </row>
    <row r="292">
      <c r="O292">
        <f>IF(B292="","",TEXT(B292,"AAAA-MM"))</f>
        <v/>
      </c>
    </row>
    <row r="293">
      <c r="O293">
        <f>IF(B293="","",TEXT(B293,"AAAA-MM"))</f>
        <v/>
      </c>
    </row>
    <row r="294">
      <c r="O294">
        <f>IF(B294="","",TEXT(B294,"AAAA-MM"))</f>
        <v/>
      </c>
    </row>
    <row r="295">
      <c r="O295">
        <f>IF(B295="","",TEXT(B295,"AAAA-MM"))</f>
        <v/>
      </c>
    </row>
    <row r="296">
      <c r="O296">
        <f>IF(B296="","",TEXT(B296,"AAAA-MM"))</f>
        <v/>
      </c>
    </row>
    <row r="297">
      <c r="O297">
        <f>IF(B297="","",TEXT(B297,"AAAA-MM"))</f>
        <v/>
      </c>
    </row>
    <row r="298">
      <c r="O298">
        <f>IF(B298="","",TEXT(B298,"AAAA-MM"))</f>
        <v/>
      </c>
    </row>
    <row r="299">
      <c r="O299">
        <f>IF(B299="","",TEXT(B299,"AAAA-MM"))</f>
        <v/>
      </c>
    </row>
    <row r="300">
      <c r="O300">
        <f>IF(B300="","",TEXT(B300,"AAAA-MM"))</f>
        <v/>
      </c>
    </row>
    <row r="301">
      <c r="O301">
        <f>IF(B301="","",TEXT(B301,"AAAA-MM"))</f>
        <v/>
      </c>
    </row>
    <row r="302">
      <c r="O302">
        <f>IF(B302="","",TEXT(B302,"AAAA-MM"))</f>
        <v/>
      </c>
    </row>
    <row r="303">
      <c r="O303">
        <f>IF(B303="","",TEXT(B303,"AAAA-MM"))</f>
        <v/>
      </c>
    </row>
    <row r="304">
      <c r="O304">
        <f>IF(B304="","",TEXT(B304,"AAAA-MM"))</f>
        <v/>
      </c>
    </row>
    <row r="305">
      <c r="O305">
        <f>IF(B305="","",TEXT(B305,"AAAA-MM"))</f>
        <v/>
      </c>
    </row>
    <row r="306">
      <c r="O306">
        <f>IF(B306="","",TEXT(B306,"AAAA-MM"))</f>
        <v/>
      </c>
    </row>
    <row r="307">
      <c r="O307">
        <f>IF(B307="","",TEXT(B307,"AAAA-MM"))</f>
        <v/>
      </c>
    </row>
    <row r="308">
      <c r="O308">
        <f>IF(B308="","",TEXT(B308,"AAAA-MM"))</f>
        <v/>
      </c>
    </row>
    <row r="309">
      <c r="O309">
        <f>IF(B309="","",TEXT(B309,"AAAA-MM"))</f>
        <v/>
      </c>
    </row>
    <row r="312">
      <c r="A312" s="4" t="inlineStr">
        <is>
          <t>Legenda: tabela principal, alimentada pelo formulario do AppSheet (uma linha por lancamento/parcela). Status = Realizado (ja debitado/creditado) ou Previsto (parcela futura ainda nao cobrada, gerada automaticamente pela Action 'Gerar parcelas futuras' - ver README). ID_Compra agrupa as parcelas da mesma compra. Mes_Referencia e calculada automaticamente a partir da Data - nao editar manualmente. Linhas de exemplo (LC0001-LC0008) sao ficticias, pode apagar.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2" customWidth="1" min="3" max="3"/>
    <col width="16" customWidth="1" min="4" max="4"/>
    <col width="16" customWidth="1" min="5" max="5"/>
    <col width="14" customWidth="1" min="6" max="6"/>
    <col width="10" customWidth="1" min="7" max="7"/>
  </cols>
  <sheetData>
    <row r="1">
      <c r="A1" s="1" t="inlineStr">
        <is>
          <t>ID_Despesa</t>
        </is>
      </c>
      <c r="B1" s="1" t="inlineStr">
        <is>
          <t>Descricao</t>
        </is>
      </c>
      <c r="C1" s="1" t="inlineStr">
        <is>
          <t>Categoria</t>
        </is>
      </c>
      <c r="D1" s="1" t="inlineStr">
        <is>
          <t>Conta</t>
        </is>
      </c>
      <c r="E1" s="1" t="inlineStr">
        <is>
          <t>Valor_Esperado</t>
        </is>
      </c>
      <c r="F1" s="1" t="inlineStr">
        <is>
          <t>Dia_Vencimento</t>
        </is>
      </c>
      <c r="G1" s="1" t="inlineStr">
        <is>
          <t>Ativa</t>
        </is>
      </c>
    </row>
    <row r="2">
      <c r="A2" s="2" t="inlineStr">
        <is>
          <t>DF01</t>
        </is>
      </c>
      <c r="B2" s="2" t="inlineStr">
        <is>
          <t>Aluguel</t>
        </is>
      </c>
      <c r="C2" s="2" t="inlineStr">
        <is>
          <t>Aluguel / Financiamento</t>
        </is>
      </c>
      <c r="D2" s="2" t="inlineStr">
        <is>
          <t>Banco do Brasil</t>
        </is>
      </c>
      <c r="E2" s="3" t="n">
        <v>2100</v>
      </c>
      <c r="F2" s="2" t="n">
        <v>10</v>
      </c>
      <c r="G2" s="2" t="inlineStr">
        <is>
          <t>Sim</t>
        </is>
      </c>
    </row>
    <row r="3">
      <c r="A3" s="2" t="inlineStr">
        <is>
          <t>DF02</t>
        </is>
      </c>
      <c r="B3" s="2" t="inlineStr">
        <is>
          <t>Condominio</t>
        </is>
      </c>
      <c r="C3" s="2" t="inlineStr">
        <is>
          <t>Condominio</t>
        </is>
      </c>
      <c r="D3" s="2" t="inlineStr">
        <is>
          <t>Banco do Brasil</t>
        </is>
      </c>
      <c r="E3" s="3" t="n">
        <v>450</v>
      </c>
      <c r="F3" s="2" t="n">
        <v>5</v>
      </c>
      <c r="G3" s="2" t="inlineStr">
        <is>
          <t>Sim</t>
        </is>
      </c>
    </row>
    <row r="4">
      <c r="A4" s="2" t="inlineStr">
        <is>
          <t>DF03</t>
        </is>
      </c>
      <c r="B4" s="2" t="inlineStr">
        <is>
          <t>Energia Eletrica</t>
        </is>
      </c>
      <c r="C4" s="2" t="inlineStr">
        <is>
          <t>Energia Eletrica</t>
        </is>
      </c>
      <c r="D4" s="2" t="inlineStr">
        <is>
          <t>Itau Conta</t>
        </is>
      </c>
      <c r="E4" s="3" t="n">
        <v>180</v>
      </c>
      <c r="F4" s="2" t="n">
        <v>15</v>
      </c>
      <c r="G4" s="2" t="inlineStr">
        <is>
          <t>Sim</t>
        </is>
      </c>
    </row>
    <row r="5">
      <c r="A5" s="2" t="inlineStr">
        <is>
          <t>DF04</t>
        </is>
      </c>
      <c r="B5" s="2" t="inlineStr">
        <is>
          <t>Agua</t>
        </is>
      </c>
      <c r="C5" s="2" t="inlineStr">
        <is>
          <t>Agua</t>
        </is>
      </c>
      <c r="D5" s="2" t="inlineStr">
        <is>
          <t>Itau Conta</t>
        </is>
      </c>
      <c r="E5" s="3" t="n">
        <v>90</v>
      </c>
      <c r="F5" s="2" t="n">
        <v>12</v>
      </c>
      <c r="G5" s="2" t="inlineStr">
        <is>
          <t>Sim</t>
        </is>
      </c>
    </row>
    <row r="6">
      <c r="A6" s="2" t="inlineStr">
        <is>
          <t>DF05</t>
        </is>
      </c>
      <c r="B6" s="2" t="inlineStr">
        <is>
          <t>Internet / Telefone</t>
        </is>
      </c>
      <c r="C6" s="2" t="inlineStr">
        <is>
          <t>Internet / Telefone</t>
        </is>
      </c>
      <c r="D6" s="2" t="inlineStr">
        <is>
          <t>Nubank Conta</t>
        </is>
      </c>
      <c r="E6" s="3" t="n">
        <v>150</v>
      </c>
      <c r="F6" s="2" t="n">
        <v>20</v>
      </c>
      <c r="G6" s="2" t="inlineStr">
        <is>
          <t>Sim</t>
        </is>
      </c>
    </row>
    <row r="8">
      <c r="A8" s="4" t="inlineStr">
        <is>
          <t>Legenda (celulas de Valor_Esperado sao editaveis): despesas semi-fixas que variam pouco mes a mes (aluguel, agua, luz, internet). Ajuste Valor_Esperado sempre que a conta chegar com valor diferente. Marque Ativa=Nao para parar de contar uma despesa na previsao (ex: contrato encerrado).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</cols>
  <sheetData>
    <row r="1">
      <c r="A1" s="1" t="inlineStr">
        <is>
          <t>Numero</t>
        </is>
      </c>
    </row>
    <row r="2">
      <c r="A2" s="6" t="n">
        <v>1</v>
      </c>
    </row>
    <row r="3">
      <c r="A3" s="6" t="n">
        <v>2</v>
      </c>
    </row>
    <row r="4">
      <c r="A4" s="6" t="n">
        <v>3</v>
      </c>
    </row>
    <row r="5">
      <c r="A5" s="6" t="n">
        <v>4</v>
      </c>
    </row>
    <row r="6">
      <c r="A6" s="6" t="n">
        <v>5</v>
      </c>
    </row>
    <row r="7">
      <c r="A7" s="6" t="n">
        <v>6</v>
      </c>
    </row>
    <row r="8">
      <c r="A8" s="6" t="n">
        <v>7</v>
      </c>
    </row>
    <row r="9">
      <c r="A9" s="6" t="n">
        <v>8</v>
      </c>
    </row>
    <row r="10">
      <c r="A10" s="6" t="n">
        <v>9</v>
      </c>
    </row>
    <row r="11">
      <c r="A11" s="6" t="n">
        <v>10</v>
      </c>
    </row>
    <row r="12">
      <c r="A12" s="6" t="n">
        <v>11</v>
      </c>
    </row>
    <row r="13">
      <c r="A13" s="6" t="n">
        <v>12</v>
      </c>
    </row>
    <row r="14">
      <c r="A14" s="6" t="n">
        <v>13</v>
      </c>
    </row>
    <row r="15">
      <c r="A15" s="6" t="n">
        <v>14</v>
      </c>
    </row>
    <row r="16">
      <c r="A16" s="6" t="n">
        <v>15</v>
      </c>
    </row>
    <row r="17">
      <c r="A17" s="6" t="n">
        <v>16</v>
      </c>
    </row>
    <row r="18">
      <c r="A18" s="6" t="n">
        <v>17</v>
      </c>
    </row>
    <row r="19">
      <c r="A19" s="6" t="n">
        <v>18</v>
      </c>
    </row>
    <row r="20">
      <c r="A20" s="6" t="n">
        <v>19</v>
      </c>
    </row>
    <row r="21">
      <c r="A21" s="6" t="n">
        <v>20</v>
      </c>
    </row>
    <row r="22">
      <c r="A22" s="6" t="n">
        <v>21</v>
      </c>
    </row>
    <row r="23">
      <c r="A23" s="6" t="n">
        <v>22</v>
      </c>
    </row>
    <row r="24">
      <c r="A24" s="6" t="n">
        <v>23</v>
      </c>
    </row>
    <row r="25">
      <c r="A25" s="6" t="n">
        <v>24</v>
      </c>
    </row>
    <row r="26">
      <c r="A26" s="6" t="n">
        <v>25</v>
      </c>
    </row>
    <row r="27">
      <c r="A27" s="6" t="n">
        <v>26</v>
      </c>
    </row>
    <row r="28">
      <c r="A28" s="6" t="n">
        <v>27</v>
      </c>
    </row>
    <row r="29">
      <c r="A29" s="6" t="n">
        <v>28</v>
      </c>
    </row>
    <row r="30">
      <c r="A30" s="6" t="n">
        <v>29</v>
      </c>
    </row>
    <row r="31">
      <c r="A31" s="6" t="n">
        <v>30</v>
      </c>
    </row>
    <row r="32">
      <c r="A32" s="6" t="n">
        <v>31</v>
      </c>
    </row>
    <row r="33">
      <c r="A33" s="6" t="n">
        <v>32</v>
      </c>
    </row>
    <row r="34">
      <c r="A34" s="6" t="n">
        <v>33</v>
      </c>
    </row>
    <row r="35">
      <c r="A35" s="6" t="n">
        <v>34</v>
      </c>
    </row>
    <row r="36">
      <c r="A36" s="6" t="n">
        <v>35</v>
      </c>
    </row>
    <row r="37">
      <c r="A37" s="6" t="n">
        <v>36</v>
      </c>
    </row>
    <row r="38">
      <c r="A38" s="6" t="n">
        <v>37</v>
      </c>
    </row>
    <row r="39">
      <c r="A39" s="6" t="n">
        <v>38</v>
      </c>
    </row>
    <row r="40">
      <c r="A40" s="6" t="n">
        <v>39</v>
      </c>
    </row>
    <row r="41">
      <c r="A41" s="6" t="n">
        <v>40</v>
      </c>
    </row>
    <row r="42">
      <c r="A42" s="6" t="n">
        <v>41</v>
      </c>
    </row>
    <row r="43">
      <c r="A43" s="6" t="n">
        <v>42</v>
      </c>
    </row>
    <row r="44">
      <c r="A44" s="6" t="n">
        <v>43</v>
      </c>
    </row>
    <row r="45">
      <c r="A45" s="6" t="n">
        <v>44</v>
      </c>
    </row>
    <row r="46">
      <c r="A46" s="6" t="n">
        <v>45</v>
      </c>
    </row>
    <row r="47">
      <c r="A47" s="6" t="n">
        <v>46</v>
      </c>
    </row>
    <row r="48">
      <c r="A48" s="6" t="n">
        <v>47</v>
      </c>
    </row>
    <row r="49">
      <c r="A49" s="6" t="n">
        <v>48</v>
      </c>
    </row>
    <row r="50">
      <c r="A50" s="6" t="n">
        <v>49</v>
      </c>
    </row>
    <row r="51">
      <c r="A51" s="6" t="n">
        <v>50</v>
      </c>
    </row>
    <row r="52">
      <c r="A52" s="6" t="n">
        <v>51</v>
      </c>
    </row>
    <row r="53">
      <c r="A53" s="6" t="n">
        <v>52</v>
      </c>
    </row>
    <row r="54">
      <c r="A54" s="6" t="n">
        <v>53</v>
      </c>
    </row>
    <row r="55">
      <c r="A55" s="6" t="n">
        <v>54</v>
      </c>
    </row>
    <row r="56">
      <c r="A56" s="6" t="n">
        <v>55</v>
      </c>
    </row>
    <row r="57">
      <c r="A57" s="6" t="n">
        <v>56</v>
      </c>
    </row>
    <row r="58">
      <c r="A58" s="6" t="n">
        <v>57</v>
      </c>
    </row>
    <row r="59">
      <c r="A59" s="6" t="n">
        <v>58</v>
      </c>
    </row>
    <row r="60">
      <c r="A60" s="6" t="n">
        <v>59</v>
      </c>
    </row>
    <row r="61">
      <c r="A61" s="6" t="n">
        <v>60</v>
      </c>
    </row>
    <row r="63">
      <c r="A63" s="4" t="inlineStr">
        <is>
          <t>Tabela tecnica (nao editar): lista de 1 a 60, usada pela Action do AppSheet para gerar as parcelas futuras de uma compra parcelada (cobre compras de ate 60x). Pode ficar oculta no app.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8" customWidth="1" min="4" max="4"/>
    <col width="14" customWidth="1" min="5" max="5"/>
    <col width="16" customWidth="1" min="6" max="6"/>
    <col width="16" customWidth="1" min="7" max="7"/>
    <col width="2" customWidth="1" min="8" max="8"/>
    <col width="26" customWidth="1" min="9" max="9"/>
    <col width="16" customWidth="1" min="10" max="10"/>
  </cols>
  <sheetData>
    <row r="1">
      <c r="A1" s="1" t="inlineStr">
        <is>
          <t>Mes</t>
        </is>
      </c>
      <c r="B1" s="1" t="inlineStr">
        <is>
          <t>Total_Receitas</t>
        </is>
      </c>
      <c r="C1" s="1" t="inlineStr">
        <is>
          <t>Total_Despesas</t>
        </is>
      </c>
      <c r="D1" s="1" t="inlineStr">
        <is>
          <t>Total_Investimentos</t>
        </is>
      </c>
      <c r="E1" s="1" t="inlineStr">
        <is>
          <t>Saldo_do_Mes</t>
        </is>
      </c>
      <c r="F1" s="1" t="inlineStr">
        <is>
          <t>Taxa_de_Poupanca</t>
        </is>
      </c>
      <c r="G1" s="1" t="inlineStr">
        <is>
          <t>Saldo_Acumulado</t>
        </is>
      </c>
      <c r="I1" s="7" t="inlineStr">
        <is>
          <t>Gastos por Categoria - Mes mais recente</t>
        </is>
      </c>
    </row>
    <row r="2">
      <c r="A2" s="8" t="inlineStr">
        <is>
          <t>2025-10</t>
        </is>
      </c>
      <c r="B2" s="3">
        <f>SUMIFS(Lancamentos!$G:$G,Lancamentos!$C:$C,"Receita",Lancamentos!$O:$O,A2,Lancamentos!$L:$L,"Realizado")</f>
        <v/>
      </c>
      <c r="C2" s="3">
        <f>SUMIFS(Lancamentos!$G:$G,Lancamentos!$C:$C,"Despesa",Lancamentos!$O:$O,A2,Lancamentos!$L:$L,"Realizado")</f>
        <v/>
      </c>
      <c r="D2" s="3">
        <f>SUMIFS(Lancamentos!$G:$G,Lancamentos!$C:$C,"Investimento",Lancamentos!$O:$O,A2,Lancamentos!$L:$L,"Realizado")</f>
        <v/>
      </c>
      <c r="E2" s="3">
        <f>B2-C2-D2</f>
        <v/>
      </c>
      <c r="F2" s="9">
        <f>IFERROR(E2/B2,0)</f>
        <v/>
      </c>
      <c r="G2" s="3">
        <f>E2</f>
        <v/>
      </c>
      <c r="I2" s="10" t="inlineStr">
        <is>
          <t>Categoria</t>
        </is>
      </c>
      <c r="J2" s="10" t="inlineStr">
        <is>
          <t>Total_Gasto</t>
        </is>
      </c>
    </row>
    <row r="3">
      <c r="A3" s="8" t="inlineStr">
        <is>
          <t>2025-11</t>
        </is>
      </c>
      <c r="B3" s="3">
        <f>SUMIFS(Lancamentos!$G:$G,Lancamentos!$C:$C,"Receita",Lancamentos!$O:$O,A3,Lancamentos!$L:$L,"Realizado")</f>
        <v/>
      </c>
      <c r="C3" s="3">
        <f>SUMIFS(Lancamentos!$G:$G,Lancamentos!$C:$C,"Despesa",Lancamentos!$O:$O,A3,Lancamentos!$L:$L,"Realizado")</f>
        <v/>
      </c>
      <c r="D3" s="3">
        <f>SUMIFS(Lancamentos!$G:$G,Lancamentos!$C:$C,"Investimento",Lancamentos!$O:$O,A3,Lancamentos!$L:$L,"Realizado")</f>
        <v/>
      </c>
      <c r="E3" s="3">
        <f>B3-C3-D3</f>
        <v/>
      </c>
      <c r="F3" s="9">
        <f>IFERROR(E3/B3,0)</f>
        <v/>
      </c>
      <c r="G3" s="3">
        <f>G2+E3</f>
        <v/>
      </c>
      <c r="I3" s="2" t="inlineStr">
        <is>
          <t>Aluguel / Financiamento</t>
        </is>
      </c>
      <c r="J3" s="11">
        <f>SUMIFS(Lancamentos!$G:$G,Lancamentos!$E:$E,I3,Lancamentos!$O:$O,$A$13,Lancamentos!$L:$L,"Realizado")</f>
        <v/>
      </c>
    </row>
    <row r="4">
      <c r="A4" s="8" t="inlineStr">
        <is>
          <t>2025-12</t>
        </is>
      </c>
      <c r="B4" s="3">
        <f>SUMIFS(Lancamentos!$G:$G,Lancamentos!$C:$C,"Receita",Lancamentos!$O:$O,A4,Lancamentos!$L:$L,"Realizado")</f>
        <v/>
      </c>
      <c r="C4" s="3">
        <f>SUMIFS(Lancamentos!$G:$G,Lancamentos!$C:$C,"Despesa",Lancamentos!$O:$O,A4,Lancamentos!$L:$L,"Realizado")</f>
        <v/>
      </c>
      <c r="D4" s="3">
        <f>SUMIFS(Lancamentos!$G:$G,Lancamentos!$C:$C,"Investimento",Lancamentos!$O:$O,A4,Lancamentos!$L:$L,"Realizado")</f>
        <v/>
      </c>
      <c r="E4" s="3">
        <f>B4-C4-D4</f>
        <v/>
      </c>
      <c r="F4" s="9">
        <f>IFERROR(E4/B4,0)</f>
        <v/>
      </c>
      <c r="G4" s="3">
        <f>G3+E4</f>
        <v/>
      </c>
      <c r="I4" s="2" t="inlineStr">
        <is>
          <t>Condominio</t>
        </is>
      </c>
      <c r="J4" s="11">
        <f>SUMIFS(Lancamentos!$G:$G,Lancamentos!$E:$E,I4,Lancamentos!$O:$O,$A$13,Lancamentos!$L:$L,"Realizado")</f>
        <v/>
      </c>
    </row>
    <row r="5">
      <c r="A5" s="8" t="inlineStr">
        <is>
          <t>2026-01</t>
        </is>
      </c>
      <c r="B5" s="3">
        <f>SUMIFS(Lancamentos!$G:$G,Lancamentos!$C:$C,"Receita",Lancamentos!$O:$O,A5,Lancamentos!$L:$L,"Realizado")</f>
        <v/>
      </c>
      <c r="C5" s="3">
        <f>SUMIFS(Lancamentos!$G:$G,Lancamentos!$C:$C,"Despesa",Lancamentos!$O:$O,A5,Lancamentos!$L:$L,"Realizado")</f>
        <v/>
      </c>
      <c r="D5" s="3">
        <f>SUMIFS(Lancamentos!$G:$G,Lancamentos!$C:$C,"Investimento",Lancamentos!$O:$O,A5,Lancamentos!$L:$L,"Realizado")</f>
        <v/>
      </c>
      <c r="E5" s="3">
        <f>B5-C5-D5</f>
        <v/>
      </c>
      <c r="F5" s="9">
        <f>IFERROR(E5/B5,0)</f>
        <v/>
      </c>
      <c r="G5" s="3">
        <f>G4+E5</f>
        <v/>
      </c>
      <c r="I5" s="2" t="inlineStr">
        <is>
          <t>Energia Eletrica</t>
        </is>
      </c>
      <c r="J5" s="11">
        <f>SUMIFS(Lancamentos!$G:$G,Lancamentos!$E:$E,I5,Lancamentos!$O:$O,$A$13,Lancamentos!$L:$L,"Realizado")</f>
        <v/>
      </c>
    </row>
    <row r="6">
      <c r="A6" s="8" t="inlineStr">
        <is>
          <t>2026-02</t>
        </is>
      </c>
      <c r="B6" s="3">
        <f>SUMIFS(Lancamentos!$G:$G,Lancamentos!$C:$C,"Receita",Lancamentos!$O:$O,A6,Lancamentos!$L:$L,"Realizado")</f>
        <v/>
      </c>
      <c r="C6" s="3">
        <f>SUMIFS(Lancamentos!$G:$G,Lancamentos!$C:$C,"Despesa",Lancamentos!$O:$O,A6,Lancamentos!$L:$L,"Realizado")</f>
        <v/>
      </c>
      <c r="D6" s="3">
        <f>SUMIFS(Lancamentos!$G:$G,Lancamentos!$C:$C,"Investimento",Lancamentos!$O:$O,A6,Lancamentos!$L:$L,"Realizado")</f>
        <v/>
      </c>
      <c r="E6" s="3">
        <f>B6-C6-D6</f>
        <v/>
      </c>
      <c r="F6" s="9">
        <f>IFERROR(E6/B6,0)</f>
        <v/>
      </c>
      <c r="G6" s="3">
        <f>G5+E6</f>
        <v/>
      </c>
      <c r="I6" s="2" t="inlineStr">
        <is>
          <t>Agua</t>
        </is>
      </c>
      <c r="J6" s="11">
        <f>SUMIFS(Lancamentos!$G:$G,Lancamentos!$E:$E,I6,Lancamentos!$O:$O,$A$13,Lancamentos!$L:$L,"Realizado")</f>
        <v/>
      </c>
    </row>
    <row r="7">
      <c r="A7" s="8" t="inlineStr">
        <is>
          <t>2026-03</t>
        </is>
      </c>
      <c r="B7" s="3">
        <f>SUMIFS(Lancamentos!$G:$G,Lancamentos!$C:$C,"Receita",Lancamentos!$O:$O,A7,Lancamentos!$L:$L,"Realizado")</f>
        <v/>
      </c>
      <c r="C7" s="3">
        <f>SUMIFS(Lancamentos!$G:$G,Lancamentos!$C:$C,"Despesa",Lancamentos!$O:$O,A7,Lancamentos!$L:$L,"Realizado")</f>
        <v/>
      </c>
      <c r="D7" s="3">
        <f>SUMIFS(Lancamentos!$G:$G,Lancamentos!$C:$C,"Investimento",Lancamentos!$O:$O,A7,Lancamentos!$L:$L,"Realizado")</f>
        <v/>
      </c>
      <c r="E7" s="3">
        <f>B7-C7-D7</f>
        <v/>
      </c>
      <c r="F7" s="9">
        <f>IFERROR(E7/B7,0)</f>
        <v/>
      </c>
      <c r="G7" s="3">
        <f>G6+E7</f>
        <v/>
      </c>
      <c r="I7" s="2" t="inlineStr">
        <is>
          <t>Internet / Telefone</t>
        </is>
      </c>
      <c r="J7" s="11">
        <f>SUMIFS(Lancamentos!$G:$G,Lancamentos!$E:$E,I7,Lancamentos!$O:$O,$A$13,Lancamentos!$L:$L,"Realizado")</f>
        <v/>
      </c>
    </row>
    <row r="8">
      <c r="A8" s="8" t="inlineStr">
        <is>
          <t>2026-04</t>
        </is>
      </c>
      <c r="B8" s="3">
        <f>SUMIFS(Lancamentos!$G:$G,Lancamentos!$C:$C,"Receita",Lancamentos!$O:$O,A8,Lancamentos!$L:$L,"Realizado")</f>
        <v/>
      </c>
      <c r="C8" s="3">
        <f>SUMIFS(Lancamentos!$G:$G,Lancamentos!$C:$C,"Despesa",Lancamentos!$O:$O,A8,Lancamentos!$L:$L,"Realizado")</f>
        <v/>
      </c>
      <c r="D8" s="3">
        <f>SUMIFS(Lancamentos!$G:$G,Lancamentos!$C:$C,"Investimento",Lancamentos!$O:$O,A8,Lancamentos!$L:$L,"Realizado")</f>
        <v/>
      </c>
      <c r="E8" s="3">
        <f>B8-C8-D8</f>
        <v/>
      </c>
      <c r="F8" s="9">
        <f>IFERROR(E8/B8,0)</f>
        <v/>
      </c>
      <c r="G8" s="3">
        <f>G7+E8</f>
        <v/>
      </c>
      <c r="I8" s="2" t="inlineStr">
        <is>
          <t>Supermercado</t>
        </is>
      </c>
      <c r="J8" s="11">
        <f>SUMIFS(Lancamentos!$G:$G,Lancamentos!$E:$E,I8,Lancamentos!$O:$O,$A$13,Lancamentos!$L:$L,"Realizado")</f>
        <v/>
      </c>
    </row>
    <row r="9">
      <c r="A9" s="8" t="inlineStr">
        <is>
          <t>2026-05</t>
        </is>
      </c>
      <c r="B9" s="3">
        <f>SUMIFS(Lancamentos!$G:$G,Lancamentos!$C:$C,"Receita",Lancamentos!$O:$O,A9,Lancamentos!$L:$L,"Realizado")</f>
        <v/>
      </c>
      <c r="C9" s="3">
        <f>SUMIFS(Lancamentos!$G:$G,Lancamentos!$C:$C,"Despesa",Lancamentos!$O:$O,A9,Lancamentos!$L:$L,"Realizado")</f>
        <v/>
      </c>
      <c r="D9" s="3">
        <f>SUMIFS(Lancamentos!$G:$G,Lancamentos!$C:$C,"Investimento",Lancamentos!$O:$O,A9,Lancamentos!$L:$L,"Realizado")</f>
        <v/>
      </c>
      <c r="E9" s="3">
        <f>B9-C9-D9</f>
        <v/>
      </c>
      <c r="F9" s="9">
        <f>IFERROR(E9/B9,0)</f>
        <v/>
      </c>
      <c r="G9" s="3">
        <f>G8+E9</f>
        <v/>
      </c>
      <c r="I9" s="2" t="inlineStr">
        <is>
          <t>Restaurantes / Delivery</t>
        </is>
      </c>
      <c r="J9" s="11">
        <f>SUMIFS(Lancamentos!$G:$G,Lancamentos!$E:$E,I9,Lancamentos!$O:$O,$A$13,Lancamentos!$L:$L,"Realizado")</f>
        <v/>
      </c>
    </row>
    <row r="10">
      <c r="A10" s="8" t="inlineStr">
        <is>
          <t>2026-06</t>
        </is>
      </c>
      <c r="B10" s="3">
        <f>SUMIFS(Lancamentos!$G:$G,Lancamentos!$C:$C,"Receita",Lancamentos!$O:$O,A10,Lancamentos!$L:$L,"Realizado")</f>
        <v/>
      </c>
      <c r="C10" s="3">
        <f>SUMIFS(Lancamentos!$G:$G,Lancamentos!$C:$C,"Despesa",Lancamentos!$O:$O,A10,Lancamentos!$L:$L,"Realizado")</f>
        <v/>
      </c>
      <c r="D10" s="3">
        <f>SUMIFS(Lancamentos!$G:$G,Lancamentos!$C:$C,"Investimento",Lancamentos!$O:$O,A10,Lancamentos!$L:$L,"Realizado")</f>
        <v/>
      </c>
      <c r="E10" s="3">
        <f>B10-C10-D10</f>
        <v/>
      </c>
      <c r="F10" s="9">
        <f>IFERROR(E10/B10,0)</f>
        <v/>
      </c>
      <c r="G10" s="3">
        <f>G9+E10</f>
        <v/>
      </c>
      <c r="I10" s="2" t="inlineStr">
        <is>
          <t>Combustivel</t>
        </is>
      </c>
      <c r="J10" s="11">
        <f>SUMIFS(Lancamentos!$G:$G,Lancamentos!$E:$E,I10,Lancamentos!$O:$O,$A$13,Lancamentos!$L:$L,"Realizado")</f>
        <v/>
      </c>
    </row>
    <row r="11">
      <c r="A11" s="8" t="inlineStr">
        <is>
          <t>2026-07</t>
        </is>
      </c>
      <c r="B11" s="3">
        <f>SUMIFS(Lancamentos!$G:$G,Lancamentos!$C:$C,"Receita",Lancamentos!$O:$O,A11,Lancamentos!$L:$L,"Realizado")</f>
        <v/>
      </c>
      <c r="C11" s="3">
        <f>SUMIFS(Lancamentos!$G:$G,Lancamentos!$C:$C,"Despesa",Lancamentos!$O:$O,A11,Lancamentos!$L:$L,"Realizado")</f>
        <v/>
      </c>
      <c r="D11" s="3">
        <f>SUMIFS(Lancamentos!$G:$G,Lancamentos!$C:$C,"Investimento",Lancamentos!$O:$O,A11,Lancamentos!$L:$L,"Realizado")</f>
        <v/>
      </c>
      <c r="E11" s="3">
        <f>B11-C11-D11</f>
        <v/>
      </c>
      <c r="F11" s="9">
        <f>IFERROR(E11/B11,0)</f>
        <v/>
      </c>
      <c r="G11" s="3">
        <f>G10+E11</f>
        <v/>
      </c>
      <c r="I11" s="2" t="inlineStr">
        <is>
          <t>Transporte por App / Publico</t>
        </is>
      </c>
      <c r="J11" s="11">
        <f>SUMIFS(Lancamentos!$G:$G,Lancamentos!$E:$E,I11,Lancamentos!$O:$O,$A$13,Lancamentos!$L:$L,"Realizado")</f>
        <v/>
      </c>
    </row>
    <row r="12">
      <c r="A12" s="8" t="inlineStr">
        <is>
          <t>2026-08</t>
        </is>
      </c>
      <c r="B12" s="3">
        <f>SUMIFS(Lancamentos!$G:$G,Lancamentos!$C:$C,"Receita",Lancamentos!$O:$O,A12,Lancamentos!$L:$L,"Realizado")</f>
        <v/>
      </c>
      <c r="C12" s="3">
        <f>SUMIFS(Lancamentos!$G:$G,Lancamentos!$C:$C,"Despesa",Lancamentos!$O:$O,A12,Lancamentos!$L:$L,"Realizado")</f>
        <v/>
      </c>
      <c r="D12" s="3">
        <f>SUMIFS(Lancamentos!$G:$G,Lancamentos!$C:$C,"Investimento",Lancamentos!$O:$O,A12,Lancamentos!$L:$L,"Realizado")</f>
        <v/>
      </c>
      <c r="E12" s="3">
        <f>B12-C12-D12</f>
        <v/>
      </c>
      <c r="F12" s="9">
        <f>IFERROR(E12/B12,0)</f>
        <v/>
      </c>
      <c r="G12" s="3">
        <f>G11+E12</f>
        <v/>
      </c>
      <c r="I12" s="2" t="inlineStr">
        <is>
          <t>Manutencao Veiculo</t>
        </is>
      </c>
      <c r="J12" s="11">
        <f>SUMIFS(Lancamentos!$G:$G,Lancamentos!$E:$E,I12,Lancamentos!$O:$O,$A$13,Lancamentos!$L:$L,"Realizado")</f>
        <v/>
      </c>
    </row>
    <row r="13">
      <c r="A13" s="8" t="inlineStr">
        <is>
          <t>2026-09</t>
        </is>
      </c>
      <c r="B13" s="3">
        <f>SUMIFS(Lancamentos!$G:$G,Lancamentos!$C:$C,"Receita",Lancamentos!$O:$O,A13,Lancamentos!$L:$L,"Realizado")</f>
        <v/>
      </c>
      <c r="C13" s="3">
        <f>SUMIFS(Lancamentos!$G:$G,Lancamentos!$C:$C,"Despesa",Lancamentos!$O:$O,A13,Lancamentos!$L:$L,"Realizado")</f>
        <v/>
      </c>
      <c r="D13" s="3">
        <f>SUMIFS(Lancamentos!$G:$G,Lancamentos!$C:$C,"Investimento",Lancamentos!$O:$O,A13,Lancamentos!$L:$L,"Realizado")</f>
        <v/>
      </c>
      <c r="E13" s="3">
        <f>B13-C13-D13</f>
        <v/>
      </c>
      <c r="F13" s="9">
        <f>IFERROR(E13/B13,0)</f>
        <v/>
      </c>
      <c r="G13" s="3">
        <f>G12+E13</f>
        <v/>
      </c>
      <c r="I13" s="2" t="inlineStr">
        <is>
          <t>Plano de Saude</t>
        </is>
      </c>
      <c r="J13" s="11">
        <f>SUMIFS(Lancamentos!$G:$G,Lancamentos!$E:$E,I13,Lancamentos!$O:$O,$A$13,Lancamentos!$L:$L,"Realizado")</f>
        <v/>
      </c>
    </row>
    <row r="14">
      <c r="I14" s="2" t="inlineStr">
        <is>
          <t>Farmacia</t>
        </is>
      </c>
      <c r="J14" s="11">
        <f>SUMIFS(Lancamentos!$G:$G,Lancamentos!$E:$E,I14,Lancamentos!$O:$O,$A$13,Lancamentos!$L:$L,"Realizado")</f>
        <v/>
      </c>
    </row>
    <row r="15">
      <c r="A15" s="4" t="inlineStr">
        <is>
          <t>Legenda: esta aba e 100% calculada a partir da aba Lancamentos (apenas Status=Realizado) - nao editar as formulas. 'Mes' esta no formato AAAA-MM e cobre os ultimos 12 meses. Para o dinheiro que ja precisa estar reservado para compromissos futuros (parcelas e contas fixas), veja a aba Previsao_Mensal.</t>
        </is>
      </c>
      <c r="I15" s="2" t="inlineStr">
        <is>
          <t>Consultas / Exames</t>
        </is>
      </c>
      <c r="J15" s="11">
        <f>SUMIFS(Lancamentos!$G:$G,Lancamentos!$E:$E,I15,Lancamentos!$O:$O,$A$13,Lancamentos!$L:$L,"Realizado")</f>
        <v/>
      </c>
    </row>
    <row r="16">
      <c r="I16" s="2" t="inlineStr">
        <is>
          <t>Cinema / Lazer</t>
        </is>
      </c>
      <c r="J16" s="11">
        <f>SUMIFS(Lancamentos!$G:$G,Lancamentos!$E:$E,I16,Lancamentos!$O:$O,$A$13,Lancamentos!$L:$L,"Realizado")</f>
        <v/>
      </c>
    </row>
    <row r="17">
      <c r="I17" s="2" t="inlineStr">
        <is>
          <t>Viagens</t>
        </is>
      </c>
      <c r="J17" s="11">
        <f>SUMIFS(Lancamentos!$G:$G,Lancamentos!$E:$E,I17,Lancamentos!$O:$O,$A$13,Lancamentos!$L:$L,"Realizado")</f>
        <v/>
      </c>
    </row>
    <row r="18">
      <c r="I18" s="2" t="inlineStr">
        <is>
          <t>Cursos / Livros</t>
        </is>
      </c>
      <c r="J18" s="11">
        <f>SUMIFS(Lancamentos!$G:$G,Lancamentos!$E:$E,I18,Lancamentos!$O:$O,$A$13,Lancamentos!$L:$L,"Realizado")</f>
        <v/>
      </c>
    </row>
    <row r="19">
      <c r="I19" s="2" t="inlineStr">
        <is>
          <t>Mensalidade Escolar</t>
        </is>
      </c>
      <c r="J19" s="11">
        <f>SUMIFS(Lancamentos!$G:$G,Lancamentos!$E:$E,I19,Lancamentos!$O:$O,$A$13,Lancamentos!$L:$L,"Realizado")</f>
        <v/>
      </c>
    </row>
    <row r="20">
      <c r="I20" s="2" t="inlineStr">
        <is>
          <t>Streaming / Assinaturas</t>
        </is>
      </c>
      <c r="J20" s="11">
        <f>SUMIFS(Lancamentos!$G:$G,Lancamentos!$E:$E,I20,Lancamentos!$O:$O,$A$13,Lancamentos!$L:$L,"Realizado")</f>
        <v/>
      </c>
    </row>
    <row r="21">
      <c r="I21" s="2" t="inlineStr">
        <is>
          <t>Vestuario</t>
        </is>
      </c>
      <c r="J21" s="11">
        <f>SUMIFS(Lancamentos!$G:$G,Lancamentos!$E:$E,I21,Lancamentos!$O:$O,$A$13,Lancamentos!$L:$L,"Realizado")</f>
        <v/>
      </c>
    </row>
    <row r="22">
      <c r="I22" s="2" t="inlineStr">
        <is>
          <t>Cuidados Pessoais</t>
        </is>
      </c>
      <c r="J22" s="11">
        <f>SUMIFS(Lancamentos!$G:$G,Lancamentos!$E:$E,I22,Lancamentos!$O:$O,$A$13,Lancamentos!$L:$L,"Realizado")</f>
        <v/>
      </c>
    </row>
    <row r="23">
      <c r="I23" s="2" t="inlineStr">
        <is>
          <t>Impostos / Taxas</t>
        </is>
      </c>
      <c r="J23" s="11">
        <f>SUMIFS(Lancamentos!$G:$G,Lancamentos!$E:$E,I23,Lancamentos!$O:$O,$A$13,Lancamentos!$L:$L,"Realizado")</f>
        <v/>
      </c>
    </row>
    <row r="24">
      <c r="I24" s="2" t="inlineStr">
        <is>
          <t>Pets</t>
        </is>
      </c>
      <c r="J24" s="11">
        <f>SUMIFS(Lancamentos!$G:$G,Lancamentos!$E:$E,I24,Lancamentos!$O:$O,$A$13,Lancamentos!$L:$L,"Realizado")</f>
        <v/>
      </c>
    </row>
    <row r="25">
      <c r="I25" s="2" t="inlineStr">
        <is>
          <t>Presentes / Doacoes</t>
        </is>
      </c>
      <c r="J25" s="11">
        <f>SUMIFS(Lancamentos!$G:$G,Lancamentos!$E:$E,I25,Lancamentos!$O:$O,$A$13,Lancamentos!$L:$L,"Realizado")</f>
        <v/>
      </c>
    </row>
  </sheetData>
  <mergeCells count="1"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0" customWidth="1" min="4" max="4"/>
  </cols>
  <sheetData>
    <row r="1">
      <c r="A1" s="1" t="inlineStr">
        <is>
          <t>Mes</t>
        </is>
      </c>
      <c r="B1" s="1" t="inlineStr">
        <is>
          <t>Parcelas_Previstas</t>
        </is>
      </c>
      <c r="C1" s="1" t="inlineStr">
        <is>
          <t>Despesas_Fixas_Previstas</t>
        </is>
      </c>
      <c r="D1" s="1" t="inlineStr">
        <is>
          <t>Total_Reserva_Necessaria</t>
        </is>
      </c>
    </row>
    <row r="2">
      <c r="A2" s="8" t="inlineStr">
        <is>
          <t>2026-09</t>
        </is>
      </c>
      <c r="B2" s="3">
        <f>SUMIFS(Lancamentos!$G:$G,Lancamentos!$O:$O,A2,Lancamentos!$L:$L,"Previsto",Lancamentos!$C:$C,"Despesa")</f>
        <v/>
      </c>
      <c r="C2" s="3">
        <f>SUMIF(Despesas_Fixas!$G:$G,"Sim",Despesas_Fixas!$E:$E)</f>
        <v/>
      </c>
      <c r="D2" s="3">
        <f>B2+C2</f>
        <v/>
      </c>
    </row>
    <row r="3">
      <c r="A3" s="8" t="inlineStr">
        <is>
          <t>2026-10</t>
        </is>
      </c>
      <c r="B3" s="3">
        <f>SUMIFS(Lancamentos!$G:$G,Lancamentos!$O:$O,A3,Lancamentos!$L:$L,"Previsto",Lancamentos!$C:$C,"Despesa")</f>
        <v/>
      </c>
      <c r="C3" s="3">
        <f>SUMIF(Despesas_Fixas!$G:$G,"Sim",Despesas_Fixas!$E:$E)</f>
        <v/>
      </c>
      <c r="D3" s="3">
        <f>B3+C3</f>
        <v/>
      </c>
    </row>
    <row r="4">
      <c r="A4" s="8" t="inlineStr">
        <is>
          <t>2026-11</t>
        </is>
      </c>
      <c r="B4" s="3">
        <f>SUMIFS(Lancamentos!$G:$G,Lancamentos!$O:$O,A4,Lancamentos!$L:$L,"Previsto",Lancamentos!$C:$C,"Despesa")</f>
        <v/>
      </c>
      <c r="C4" s="3">
        <f>SUMIF(Despesas_Fixas!$G:$G,"Sim",Despesas_Fixas!$E:$E)</f>
        <v/>
      </c>
      <c r="D4" s="3">
        <f>B4+C4</f>
        <v/>
      </c>
    </row>
    <row r="5">
      <c r="A5" s="8" t="inlineStr">
        <is>
          <t>2026-12</t>
        </is>
      </c>
      <c r="B5" s="3">
        <f>SUMIFS(Lancamentos!$G:$G,Lancamentos!$O:$O,A5,Lancamentos!$L:$L,"Previsto",Lancamentos!$C:$C,"Despesa")</f>
        <v/>
      </c>
      <c r="C5" s="3">
        <f>SUMIF(Despesas_Fixas!$G:$G,"Sim",Despesas_Fixas!$E:$E)</f>
        <v/>
      </c>
      <c r="D5" s="3">
        <f>B5+C5</f>
        <v/>
      </c>
    </row>
    <row r="6">
      <c r="A6" s="8" t="inlineStr">
        <is>
          <t>2027-01</t>
        </is>
      </c>
      <c r="B6" s="3">
        <f>SUMIFS(Lancamentos!$G:$G,Lancamentos!$O:$O,A6,Lancamentos!$L:$L,"Previsto",Lancamentos!$C:$C,"Despesa")</f>
        <v/>
      </c>
      <c r="C6" s="3">
        <f>SUMIF(Despesas_Fixas!$G:$G,"Sim",Despesas_Fixas!$E:$E)</f>
        <v/>
      </c>
      <c r="D6" s="3">
        <f>B6+C6</f>
        <v/>
      </c>
    </row>
    <row r="7">
      <c r="A7" s="8" t="inlineStr">
        <is>
          <t>2027-02</t>
        </is>
      </c>
      <c r="B7" s="3">
        <f>SUMIFS(Lancamentos!$G:$G,Lancamentos!$O:$O,A7,Lancamentos!$L:$L,"Previsto",Lancamentos!$C:$C,"Despesa")</f>
        <v/>
      </c>
      <c r="C7" s="3">
        <f>SUMIF(Despesas_Fixas!$G:$G,"Sim",Despesas_Fixas!$E:$E)</f>
        <v/>
      </c>
      <c r="D7" s="3">
        <f>B7+C7</f>
        <v/>
      </c>
    </row>
    <row r="8">
      <c r="A8" s="8" t="inlineStr">
        <is>
          <t>2027-03</t>
        </is>
      </c>
      <c r="B8" s="3">
        <f>SUMIFS(Lancamentos!$G:$G,Lancamentos!$O:$O,A8,Lancamentos!$L:$L,"Previsto",Lancamentos!$C:$C,"Despesa")</f>
        <v/>
      </c>
      <c r="C8" s="3">
        <f>SUMIF(Despesas_Fixas!$G:$G,"Sim",Despesas_Fixas!$E:$E)</f>
        <v/>
      </c>
      <c r="D8" s="3">
        <f>B8+C8</f>
        <v/>
      </c>
    </row>
    <row r="9">
      <c r="A9" s="8" t="inlineStr">
        <is>
          <t>2027-04</t>
        </is>
      </c>
      <c r="B9" s="3">
        <f>SUMIFS(Lancamentos!$G:$G,Lancamentos!$O:$O,A9,Lancamentos!$L:$L,"Previsto",Lancamentos!$C:$C,"Despesa")</f>
        <v/>
      </c>
      <c r="C9" s="3">
        <f>SUMIF(Despesas_Fixas!$G:$G,"Sim",Despesas_Fixas!$E:$E)</f>
        <v/>
      </c>
      <c r="D9" s="3">
        <f>B9+C9</f>
        <v/>
      </c>
    </row>
    <row r="10">
      <c r="A10" s="8" t="inlineStr">
        <is>
          <t>2027-05</t>
        </is>
      </c>
      <c r="B10" s="3">
        <f>SUMIFS(Lancamentos!$G:$G,Lancamentos!$O:$O,A10,Lancamentos!$L:$L,"Previsto",Lancamentos!$C:$C,"Despesa")</f>
        <v/>
      </c>
      <c r="C10" s="3">
        <f>SUMIF(Despesas_Fixas!$G:$G,"Sim",Despesas_Fixas!$E:$E)</f>
        <v/>
      </c>
      <c r="D10" s="3">
        <f>B10+C10</f>
        <v/>
      </c>
    </row>
    <row r="11">
      <c r="A11" s="8" t="inlineStr">
        <is>
          <t>2027-06</t>
        </is>
      </c>
      <c r="B11" s="3">
        <f>SUMIFS(Lancamentos!$G:$G,Lancamentos!$O:$O,A11,Lancamentos!$L:$L,"Previsto",Lancamentos!$C:$C,"Despesa")</f>
        <v/>
      </c>
      <c r="C11" s="3">
        <f>SUMIF(Despesas_Fixas!$G:$G,"Sim",Despesas_Fixas!$E:$E)</f>
        <v/>
      </c>
      <c r="D11" s="3">
        <f>B11+C11</f>
        <v/>
      </c>
    </row>
    <row r="12">
      <c r="A12" s="8" t="inlineStr">
        <is>
          <t>2027-07</t>
        </is>
      </c>
      <c r="B12" s="3">
        <f>SUMIFS(Lancamentos!$G:$G,Lancamentos!$O:$O,A12,Lancamentos!$L:$L,"Previsto",Lancamentos!$C:$C,"Despesa")</f>
        <v/>
      </c>
      <c r="C12" s="3">
        <f>SUMIF(Despesas_Fixas!$G:$G,"Sim",Despesas_Fixas!$E:$E)</f>
        <v/>
      </c>
      <c r="D12" s="3">
        <f>B12+C12</f>
        <v/>
      </c>
    </row>
    <row r="13">
      <c r="A13" s="8" t="inlineStr">
        <is>
          <t>2027-08</t>
        </is>
      </c>
      <c r="B13" s="3">
        <f>SUMIFS(Lancamentos!$G:$G,Lancamentos!$O:$O,A13,Lancamentos!$L:$L,"Previsto",Lancamentos!$C:$C,"Despesa")</f>
        <v/>
      </c>
      <c r="C13" s="3">
        <f>SUMIF(Despesas_Fixas!$G:$G,"Sim",Despesas_Fixas!$E:$E)</f>
        <v/>
      </c>
      <c r="D13" s="3">
        <f>B13+C13</f>
        <v/>
      </c>
    </row>
    <row r="15">
      <c r="A15" s="4" t="inlineStr">
        <is>
          <t>Legenda: para cada mes futuro, soma (1) as parcelas de compras parceladas ainda nao cobradas (Lancamentos com Status=Previsto) e (2) as despesas semi-fixas ativas (aba Despesas_Fixas). Total_Reserva_Necessaria e o valor que voce ja sabe que vai precisar ter disponivel naquele mes, mesmo antes de a fatura/conta chegar. Assume que despesas fixas ativas se repetem todo mes; ajuste Valor_Esperado na aba Despesas_Fixas quando o valor real mudar.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Categoria</t>
        </is>
      </c>
      <c r="B1" s="1" t="inlineStr">
        <is>
          <t>Valor_Orcado</t>
        </is>
      </c>
      <c r="C1" s="1" t="inlineStr">
        <is>
          <t>Valor_Gasto</t>
        </is>
      </c>
      <c r="D1" s="1" t="inlineStr">
        <is>
          <t>Diferenca</t>
        </is>
      </c>
      <c r="E1" s="1" t="inlineStr">
        <is>
          <t>Status</t>
        </is>
      </c>
    </row>
    <row r="2">
      <c r="A2" s="2" t="inlineStr">
        <is>
          <t>Aluguel / Financiamento</t>
        </is>
      </c>
      <c r="B2" s="12" t="n">
        <v>0</v>
      </c>
      <c r="C2" s="11">
        <f>SUMIFS(Lancamentos!$G:$G,Lancamentos!$E:$E,A2,Lancamentos!$O:$O,TEXT(TODAY(),"AAAA-MM"),Lancamentos!$L:$L,"Realizado")</f>
        <v/>
      </c>
      <c r="D2" s="11">
        <f>B2-C2</f>
        <v/>
      </c>
      <c r="E2" s="6">
        <f>IF(B2=0,"Sem orcamento",IF(C2&lt;=B2,"Dentro do orcado","Estourado"))</f>
        <v/>
      </c>
    </row>
    <row r="3">
      <c r="A3" s="2" t="inlineStr">
        <is>
          <t>Condominio</t>
        </is>
      </c>
      <c r="B3" s="12" t="n">
        <v>0</v>
      </c>
      <c r="C3" s="11">
        <f>SUMIFS(Lancamentos!$G:$G,Lancamentos!$E:$E,A3,Lancamentos!$O:$O,TEXT(TODAY(),"AAAA-MM"),Lancamentos!$L:$L,"Realizado")</f>
        <v/>
      </c>
      <c r="D3" s="11">
        <f>B3-C3</f>
        <v/>
      </c>
      <c r="E3" s="6">
        <f>IF(B3=0,"Sem orcamento",IF(C3&lt;=B3,"Dentro do orcado","Estourado"))</f>
        <v/>
      </c>
    </row>
    <row r="4">
      <c r="A4" s="2" t="inlineStr">
        <is>
          <t>Energia Eletrica</t>
        </is>
      </c>
      <c r="B4" s="12" t="n">
        <v>0</v>
      </c>
      <c r="C4" s="11">
        <f>SUMIFS(Lancamentos!$G:$G,Lancamentos!$E:$E,A4,Lancamentos!$O:$O,TEXT(TODAY(),"AAAA-MM"),Lancamentos!$L:$L,"Realizado")</f>
        <v/>
      </c>
      <c r="D4" s="11">
        <f>B4-C4</f>
        <v/>
      </c>
      <c r="E4" s="6">
        <f>IF(B4=0,"Sem orcamento",IF(C4&lt;=B4,"Dentro do orcado","Estourado"))</f>
        <v/>
      </c>
    </row>
    <row r="5">
      <c r="A5" s="2" t="inlineStr">
        <is>
          <t>Agua</t>
        </is>
      </c>
      <c r="B5" s="12" t="n">
        <v>0</v>
      </c>
      <c r="C5" s="11">
        <f>SUMIFS(Lancamentos!$G:$G,Lancamentos!$E:$E,A5,Lancamentos!$O:$O,TEXT(TODAY(),"AAAA-MM"),Lancamentos!$L:$L,"Realizado")</f>
        <v/>
      </c>
      <c r="D5" s="11">
        <f>B5-C5</f>
        <v/>
      </c>
      <c r="E5" s="6">
        <f>IF(B5=0,"Sem orcamento",IF(C5&lt;=B5,"Dentro do orcado","Estourado"))</f>
        <v/>
      </c>
    </row>
    <row r="6">
      <c r="A6" s="2" t="inlineStr">
        <is>
          <t>Internet / Telefone</t>
        </is>
      </c>
      <c r="B6" s="12" t="n">
        <v>0</v>
      </c>
      <c r="C6" s="11">
        <f>SUMIFS(Lancamentos!$G:$G,Lancamentos!$E:$E,A6,Lancamentos!$O:$O,TEXT(TODAY(),"AAAA-MM"),Lancamentos!$L:$L,"Realizado")</f>
        <v/>
      </c>
      <c r="D6" s="11">
        <f>B6-C6</f>
        <v/>
      </c>
      <c r="E6" s="6">
        <f>IF(B6=0,"Sem orcamento",IF(C6&lt;=B6,"Dentro do orcado","Estourado"))</f>
        <v/>
      </c>
    </row>
    <row r="7">
      <c r="A7" s="2" t="inlineStr">
        <is>
          <t>Supermercado</t>
        </is>
      </c>
      <c r="B7" s="12" t="n">
        <v>0</v>
      </c>
      <c r="C7" s="11">
        <f>SUMIFS(Lancamentos!$G:$G,Lancamentos!$E:$E,A7,Lancamentos!$O:$O,TEXT(TODAY(),"AAAA-MM"),Lancamentos!$L:$L,"Realizado")</f>
        <v/>
      </c>
      <c r="D7" s="11">
        <f>B7-C7</f>
        <v/>
      </c>
      <c r="E7" s="6">
        <f>IF(B7=0,"Sem orcamento",IF(C7&lt;=B7,"Dentro do orcado","Estourado"))</f>
        <v/>
      </c>
    </row>
    <row r="8">
      <c r="A8" s="2" t="inlineStr">
        <is>
          <t>Restaurantes / Delivery</t>
        </is>
      </c>
      <c r="B8" s="12" t="n">
        <v>0</v>
      </c>
      <c r="C8" s="11">
        <f>SUMIFS(Lancamentos!$G:$G,Lancamentos!$E:$E,A8,Lancamentos!$O:$O,TEXT(TODAY(),"AAAA-MM"),Lancamentos!$L:$L,"Realizado")</f>
        <v/>
      </c>
      <c r="D8" s="11">
        <f>B8-C8</f>
        <v/>
      </c>
      <c r="E8" s="6">
        <f>IF(B8=0,"Sem orcamento",IF(C8&lt;=B8,"Dentro do orcado","Estourado"))</f>
        <v/>
      </c>
    </row>
    <row r="9">
      <c r="A9" s="2" t="inlineStr">
        <is>
          <t>Combustivel</t>
        </is>
      </c>
      <c r="B9" s="12" t="n">
        <v>0</v>
      </c>
      <c r="C9" s="11">
        <f>SUMIFS(Lancamentos!$G:$G,Lancamentos!$E:$E,A9,Lancamentos!$O:$O,TEXT(TODAY(),"AAAA-MM"),Lancamentos!$L:$L,"Realizado")</f>
        <v/>
      </c>
      <c r="D9" s="11">
        <f>B9-C9</f>
        <v/>
      </c>
      <c r="E9" s="6">
        <f>IF(B9=0,"Sem orcamento",IF(C9&lt;=B9,"Dentro do orcado","Estourado"))</f>
        <v/>
      </c>
    </row>
    <row r="10">
      <c r="A10" s="2" t="inlineStr">
        <is>
          <t>Transporte por App / Publico</t>
        </is>
      </c>
      <c r="B10" s="12" t="n">
        <v>0</v>
      </c>
      <c r="C10" s="11">
        <f>SUMIFS(Lancamentos!$G:$G,Lancamentos!$E:$E,A10,Lancamentos!$O:$O,TEXT(TODAY(),"AAAA-MM"),Lancamentos!$L:$L,"Realizado")</f>
        <v/>
      </c>
      <c r="D10" s="11">
        <f>B10-C10</f>
        <v/>
      </c>
      <c r="E10" s="6">
        <f>IF(B10=0,"Sem orcamento",IF(C10&lt;=B10,"Dentro do orcado","Estourado"))</f>
        <v/>
      </c>
    </row>
    <row r="11">
      <c r="A11" s="2" t="inlineStr">
        <is>
          <t>Manutencao Veiculo</t>
        </is>
      </c>
      <c r="B11" s="12" t="n">
        <v>0</v>
      </c>
      <c r="C11" s="11">
        <f>SUMIFS(Lancamentos!$G:$G,Lancamentos!$E:$E,A11,Lancamentos!$O:$O,TEXT(TODAY(),"AAAA-MM"),Lancamentos!$L:$L,"Realizado")</f>
        <v/>
      </c>
      <c r="D11" s="11">
        <f>B11-C11</f>
        <v/>
      </c>
      <c r="E11" s="6">
        <f>IF(B11=0,"Sem orcamento",IF(C11&lt;=B11,"Dentro do orcado","Estourado"))</f>
        <v/>
      </c>
    </row>
    <row r="12">
      <c r="A12" s="2" t="inlineStr">
        <is>
          <t>Plano de Saude</t>
        </is>
      </c>
      <c r="B12" s="12" t="n">
        <v>0</v>
      </c>
      <c r="C12" s="11">
        <f>SUMIFS(Lancamentos!$G:$G,Lancamentos!$E:$E,A12,Lancamentos!$O:$O,TEXT(TODAY(),"AAAA-MM"),Lancamentos!$L:$L,"Realizado")</f>
        <v/>
      </c>
      <c r="D12" s="11">
        <f>B12-C12</f>
        <v/>
      </c>
      <c r="E12" s="6">
        <f>IF(B12=0,"Sem orcamento",IF(C12&lt;=B12,"Dentro do orcado","Estourado"))</f>
        <v/>
      </c>
    </row>
    <row r="13">
      <c r="A13" s="2" t="inlineStr">
        <is>
          <t>Farmacia</t>
        </is>
      </c>
      <c r="B13" s="12" t="n">
        <v>0</v>
      </c>
      <c r="C13" s="11">
        <f>SUMIFS(Lancamentos!$G:$G,Lancamentos!$E:$E,A13,Lancamentos!$O:$O,TEXT(TODAY(),"AAAA-MM"),Lancamentos!$L:$L,"Realizado")</f>
        <v/>
      </c>
      <c r="D13" s="11">
        <f>B13-C13</f>
        <v/>
      </c>
      <c r="E13" s="6">
        <f>IF(B13=0,"Sem orcamento",IF(C13&lt;=B13,"Dentro do orcado","Estourado"))</f>
        <v/>
      </c>
    </row>
    <row r="14">
      <c r="A14" s="2" t="inlineStr">
        <is>
          <t>Consultas / Exames</t>
        </is>
      </c>
      <c r="B14" s="12" t="n">
        <v>0</v>
      </c>
      <c r="C14" s="11">
        <f>SUMIFS(Lancamentos!$G:$G,Lancamentos!$E:$E,A14,Lancamentos!$O:$O,TEXT(TODAY(),"AAAA-MM"),Lancamentos!$L:$L,"Realizado")</f>
        <v/>
      </c>
      <c r="D14" s="11">
        <f>B14-C14</f>
        <v/>
      </c>
      <c r="E14" s="6">
        <f>IF(B14=0,"Sem orcamento",IF(C14&lt;=B14,"Dentro do orcado","Estourado"))</f>
        <v/>
      </c>
    </row>
    <row r="15">
      <c r="A15" s="2" t="inlineStr">
        <is>
          <t>Cinema / Lazer</t>
        </is>
      </c>
      <c r="B15" s="12" t="n">
        <v>0</v>
      </c>
      <c r="C15" s="11">
        <f>SUMIFS(Lancamentos!$G:$G,Lancamentos!$E:$E,A15,Lancamentos!$O:$O,TEXT(TODAY(),"AAAA-MM"),Lancamentos!$L:$L,"Realizado")</f>
        <v/>
      </c>
      <c r="D15" s="11">
        <f>B15-C15</f>
        <v/>
      </c>
      <c r="E15" s="6">
        <f>IF(B15=0,"Sem orcamento",IF(C15&lt;=B15,"Dentro do orcado","Estourado"))</f>
        <v/>
      </c>
    </row>
    <row r="16">
      <c r="A16" s="2" t="inlineStr">
        <is>
          <t>Viagens</t>
        </is>
      </c>
      <c r="B16" s="12" t="n">
        <v>0</v>
      </c>
      <c r="C16" s="11">
        <f>SUMIFS(Lancamentos!$G:$G,Lancamentos!$E:$E,A16,Lancamentos!$O:$O,TEXT(TODAY(),"AAAA-MM"),Lancamentos!$L:$L,"Realizado")</f>
        <v/>
      </c>
      <c r="D16" s="11">
        <f>B16-C16</f>
        <v/>
      </c>
      <c r="E16" s="6">
        <f>IF(B16=0,"Sem orcamento",IF(C16&lt;=B16,"Dentro do orcado","Estourado"))</f>
        <v/>
      </c>
    </row>
    <row r="17">
      <c r="A17" s="2" t="inlineStr">
        <is>
          <t>Cursos / Livros</t>
        </is>
      </c>
      <c r="B17" s="12" t="n">
        <v>0</v>
      </c>
      <c r="C17" s="11">
        <f>SUMIFS(Lancamentos!$G:$G,Lancamentos!$E:$E,A17,Lancamentos!$O:$O,TEXT(TODAY(),"AAAA-MM"),Lancamentos!$L:$L,"Realizado")</f>
        <v/>
      </c>
      <c r="D17" s="11">
        <f>B17-C17</f>
        <v/>
      </c>
      <c r="E17" s="6">
        <f>IF(B17=0,"Sem orcamento",IF(C17&lt;=B17,"Dentro do orcado","Estourado"))</f>
        <v/>
      </c>
    </row>
    <row r="18">
      <c r="A18" s="2" t="inlineStr">
        <is>
          <t>Mensalidade Escolar</t>
        </is>
      </c>
      <c r="B18" s="12" t="n">
        <v>0</v>
      </c>
      <c r="C18" s="11">
        <f>SUMIFS(Lancamentos!$G:$G,Lancamentos!$E:$E,A18,Lancamentos!$O:$O,TEXT(TODAY(),"AAAA-MM"),Lancamentos!$L:$L,"Realizado")</f>
        <v/>
      </c>
      <c r="D18" s="11">
        <f>B18-C18</f>
        <v/>
      </c>
      <c r="E18" s="6">
        <f>IF(B18=0,"Sem orcamento",IF(C18&lt;=B18,"Dentro do orcado","Estourado"))</f>
        <v/>
      </c>
    </row>
    <row r="19">
      <c r="A19" s="2" t="inlineStr">
        <is>
          <t>Streaming / Assinaturas</t>
        </is>
      </c>
      <c r="B19" s="12" t="n">
        <v>0</v>
      </c>
      <c r="C19" s="11">
        <f>SUMIFS(Lancamentos!$G:$G,Lancamentos!$E:$E,A19,Lancamentos!$O:$O,TEXT(TODAY(),"AAAA-MM"),Lancamentos!$L:$L,"Realizado")</f>
        <v/>
      </c>
      <c r="D19" s="11">
        <f>B19-C19</f>
        <v/>
      </c>
      <c r="E19" s="6">
        <f>IF(B19=0,"Sem orcamento",IF(C19&lt;=B19,"Dentro do orcado","Estourado"))</f>
        <v/>
      </c>
    </row>
    <row r="20">
      <c r="A20" s="2" t="inlineStr">
        <is>
          <t>Vestuario</t>
        </is>
      </c>
      <c r="B20" s="12" t="n">
        <v>0</v>
      </c>
      <c r="C20" s="11">
        <f>SUMIFS(Lancamentos!$G:$G,Lancamentos!$E:$E,A20,Lancamentos!$O:$O,TEXT(TODAY(),"AAAA-MM"),Lancamentos!$L:$L,"Realizado")</f>
        <v/>
      </c>
      <c r="D20" s="11">
        <f>B20-C20</f>
        <v/>
      </c>
      <c r="E20" s="6">
        <f>IF(B20=0,"Sem orcamento",IF(C20&lt;=B20,"Dentro do orcado","Estourado"))</f>
        <v/>
      </c>
    </row>
    <row r="21">
      <c r="A21" s="2" t="inlineStr">
        <is>
          <t>Cuidados Pessoais</t>
        </is>
      </c>
      <c r="B21" s="12" t="n">
        <v>0</v>
      </c>
      <c r="C21" s="11">
        <f>SUMIFS(Lancamentos!$G:$G,Lancamentos!$E:$E,A21,Lancamentos!$O:$O,TEXT(TODAY(),"AAAA-MM"),Lancamentos!$L:$L,"Realizado")</f>
        <v/>
      </c>
      <c r="D21" s="11">
        <f>B21-C21</f>
        <v/>
      </c>
      <c r="E21" s="6">
        <f>IF(B21=0,"Sem orcamento",IF(C21&lt;=B21,"Dentro do orcado","Estourado"))</f>
        <v/>
      </c>
    </row>
    <row r="22">
      <c r="A22" s="2" t="inlineStr">
        <is>
          <t>Impostos / Taxas</t>
        </is>
      </c>
      <c r="B22" s="12" t="n">
        <v>0</v>
      </c>
      <c r="C22" s="11">
        <f>SUMIFS(Lancamentos!$G:$G,Lancamentos!$E:$E,A22,Lancamentos!$O:$O,TEXT(TODAY(),"AAAA-MM"),Lancamentos!$L:$L,"Realizado")</f>
        <v/>
      </c>
      <c r="D22" s="11">
        <f>B22-C22</f>
        <v/>
      </c>
      <c r="E22" s="6">
        <f>IF(B22=0,"Sem orcamento",IF(C22&lt;=B22,"Dentro do orcado","Estourado"))</f>
        <v/>
      </c>
    </row>
    <row r="23">
      <c r="A23" s="2" t="inlineStr">
        <is>
          <t>Pets</t>
        </is>
      </c>
      <c r="B23" s="12" t="n">
        <v>0</v>
      </c>
      <c r="C23" s="11">
        <f>SUMIFS(Lancamentos!$G:$G,Lancamentos!$E:$E,A23,Lancamentos!$O:$O,TEXT(TODAY(),"AAAA-MM"),Lancamentos!$L:$L,"Realizado")</f>
        <v/>
      </c>
      <c r="D23" s="11">
        <f>B23-C23</f>
        <v/>
      </c>
      <c r="E23" s="6">
        <f>IF(B23=0,"Sem orcamento",IF(C23&lt;=B23,"Dentro do orcado","Estourado"))</f>
        <v/>
      </c>
    </row>
    <row r="24">
      <c r="A24" s="2" t="inlineStr">
        <is>
          <t>Presentes / Doacoes</t>
        </is>
      </c>
      <c r="B24" s="12" t="n">
        <v>0</v>
      </c>
      <c r="C24" s="11">
        <f>SUMIFS(Lancamentos!$G:$G,Lancamentos!$E:$E,A24,Lancamentos!$O:$O,TEXT(TODAY(),"AAAA-MM"),Lancamentos!$L:$L,"Realizado")</f>
        <v/>
      </c>
      <c r="D24" s="11">
        <f>B24-C24</f>
        <v/>
      </c>
      <c r="E24" s="6">
        <f>IF(B24=0,"Sem orcamento",IF(C24&lt;=B24,"Dentro do orcado","Estourado"))</f>
        <v/>
      </c>
    </row>
    <row r="26">
      <c r="A26" s="4" t="inlineStr">
        <is>
          <t>Legenda (celulas azuis = editaveis): preencha 'Valor_Orcado' com o limite mensal desejado para cada categoria. 'Valor_Gasto' e calculado automaticamente com base no mes atual (hoje), somando apenas lancamentos com Status=Realizado.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2026-09-07T12:33:42Z</dcterms:created>
  <dcterms:modified xsi:type="dcterms:W3CDTF">2026-09-07T12:33:42Z</dcterms:modified>
</cp:coreProperties>
</file>