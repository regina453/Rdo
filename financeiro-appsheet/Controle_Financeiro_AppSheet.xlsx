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" sheetId="1" state="visible" r:id="rId1"/>
    <sheet name="Categorias" sheetId="2" state="visible" r:id="rId2"/>
    <sheet name="Lancamentos" sheetId="3" state="visible" r:id="rId3"/>
    <sheet name="Resumo_Mensal" sheetId="4" state="visible" r:id="rId4"/>
    <sheet name="Orc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yyyy-mm-dd"/>
    <numFmt numFmtId="166" formatCode="DD/MM/AAAA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i val="1"/>
      <color rgb="00666666"/>
      <sz val="9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2E5B4C"/>
        <bgColor rgb="002E5B4C"/>
      </patternFill>
    </fill>
    <fill>
      <patternFill patternType="solid">
        <fgColor rgb="004C7A68"/>
        <bgColor rgb="004C7A6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6" fontId="2" fillId="0" borderId="1" pivotButton="0" quotePrefix="0" xfId="0"/>
    <xf numFmtId="0" fontId="1" fillId="3" borderId="0" applyAlignment="1" pivotButton="0" quotePrefix="0" xfId="0">
      <alignment horizontal="center"/>
    </xf>
    <xf numFmtId="0" fontId="4" fillId="0" borderId="1" pivotButton="0" quotePrefix="0" xfId="0"/>
    <xf numFmtId="167" fontId="2" fillId="0" borderId="1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164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ID_Conta</t>
        </is>
      </c>
      <c r="B1" s="1" t="inlineStr">
        <is>
          <t>Nome_Conta</t>
        </is>
      </c>
      <c r="C1" s="1" t="inlineStr">
        <is>
          <t>Tipo</t>
        </is>
      </c>
      <c r="D1" s="1" t="inlineStr">
        <is>
          <t>Banco</t>
        </is>
      </c>
      <c r="E1" s="1" t="inlineStr">
        <is>
          <t>Saldo_Inicial</t>
        </is>
      </c>
      <c r="F1" s="1" t="inlineStr">
        <is>
          <t>Ativa</t>
        </is>
      </c>
    </row>
    <row r="2">
      <c r="A2" s="2" t="inlineStr">
        <is>
          <t>CTA01</t>
        </is>
      </c>
      <c r="B2" s="2" t="inlineStr">
        <is>
          <t>Nubank Conta</t>
        </is>
      </c>
      <c r="C2" s="2" t="inlineStr">
        <is>
          <t>Corrente</t>
        </is>
      </c>
      <c r="D2" s="2" t="inlineStr">
        <is>
          <t>Nubank</t>
        </is>
      </c>
      <c r="E2" s="3" t="n">
        <v>1500</v>
      </c>
      <c r="F2" s="2" t="inlineStr">
        <is>
          <t>Sim</t>
        </is>
      </c>
    </row>
    <row r="3">
      <c r="A3" s="2" t="inlineStr">
        <is>
          <t>CTA02</t>
        </is>
      </c>
      <c r="B3" s="2" t="inlineStr">
        <is>
          <t>Nubank Cartao</t>
        </is>
      </c>
      <c r="C3" s="2" t="inlineStr">
        <is>
          <t>Cartao</t>
        </is>
      </c>
      <c r="D3" s="2" t="inlineStr">
        <is>
          <t>Nubank</t>
        </is>
      </c>
      <c r="E3" s="3" t="n">
        <v>0</v>
      </c>
      <c r="F3" s="2" t="inlineStr">
        <is>
          <t>Sim</t>
        </is>
      </c>
    </row>
    <row r="4">
      <c r="A4" s="2" t="inlineStr">
        <is>
          <t>CTA03</t>
        </is>
      </c>
      <c r="B4" s="2" t="inlineStr">
        <is>
          <t>Banco do Brasil</t>
        </is>
      </c>
      <c r="C4" s="2" t="inlineStr">
        <is>
          <t>Corrente</t>
        </is>
      </c>
      <c r="D4" s="2" t="inlineStr">
        <is>
          <t>Banco do Brasil</t>
        </is>
      </c>
      <c r="E4" s="3" t="n">
        <v>3200</v>
      </c>
      <c r="F4" s="2" t="inlineStr">
        <is>
          <t>Sim</t>
        </is>
      </c>
    </row>
    <row r="5">
      <c r="A5" s="2" t="inlineStr">
        <is>
          <t>CTA04</t>
        </is>
      </c>
      <c r="B5" s="2" t="inlineStr">
        <is>
          <t>Itau Conta</t>
        </is>
      </c>
      <c r="C5" s="2" t="inlineStr">
        <is>
          <t>Corrente</t>
        </is>
      </c>
      <c r="D5" s="2" t="inlineStr">
        <is>
          <t>Itau</t>
        </is>
      </c>
      <c r="E5" s="3" t="n">
        <v>800</v>
      </c>
      <c r="F5" s="2" t="inlineStr">
        <is>
          <t>Sim</t>
        </is>
      </c>
    </row>
    <row r="6">
      <c r="A6" s="2" t="inlineStr">
        <is>
          <t>CTA05</t>
        </is>
      </c>
      <c r="B6" s="2" t="inlineStr">
        <is>
          <t>Itau Cartao</t>
        </is>
      </c>
      <c r="C6" s="2" t="inlineStr">
        <is>
          <t>Cartao</t>
        </is>
      </c>
      <c r="D6" s="2" t="inlineStr">
        <is>
          <t>Itau</t>
        </is>
      </c>
      <c r="E6" s="3" t="n">
        <v>0</v>
      </c>
      <c r="F6" s="2" t="inlineStr">
        <is>
          <t>Sim</t>
        </is>
      </c>
    </row>
    <row r="7">
      <c r="A7" s="2" t="inlineStr">
        <is>
          <t>CTA06</t>
        </is>
      </c>
      <c r="B7" s="2" t="inlineStr">
        <is>
          <t>Carteira</t>
        </is>
      </c>
      <c r="C7" s="2" t="inlineStr">
        <is>
          <t>Dinheiro</t>
        </is>
      </c>
      <c r="D7" s="2" t="inlineStr">
        <is>
          <t>-</t>
        </is>
      </c>
      <c r="E7" s="3" t="n">
        <v>150</v>
      </c>
      <c r="F7" s="2" t="inlineStr">
        <is>
          <t>Sim</t>
        </is>
      </c>
    </row>
    <row r="8">
      <c r="A8" s="2" t="inlineStr">
        <is>
          <t>CTA07</t>
        </is>
      </c>
      <c r="B8" s="2" t="inlineStr">
        <is>
          <t>Investimentos</t>
        </is>
      </c>
      <c r="C8" s="2" t="inlineStr">
        <is>
          <t>Investimento</t>
        </is>
      </c>
      <c r="D8" s="2" t="inlineStr">
        <is>
          <t>-</t>
        </is>
      </c>
      <c r="E8" s="3" t="n">
        <v>5000</v>
      </c>
      <c r="F8" s="2" t="inlineStr">
        <is>
          <t>Sim</t>
        </is>
      </c>
    </row>
    <row r="10">
      <c r="A10" s="4" t="inlineStr">
        <is>
          <t>Legenda: preencha/edite estas linhas conforme suas contas reais. Tipo aceita: Corrente, Cartao, Dinheiro, Investimento.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0" customWidth="1" min="4" max="4"/>
  </cols>
  <sheetData>
    <row r="1">
      <c r="A1" s="1" t="inlineStr">
        <is>
          <t>ID_Categoria</t>
        </is>
      </c>
      <c r="B1" s="1" t="inlineStr">
        <is>
          <t>Nome_Categoria</t>
        </is>
      </c>
      <c r="C1" s="1" t="inlineStr">
        <is>
          <t>Tipo</t>
        </is>
      </c>
      <c r="D1" s="1" t="inlineStr">
        <is>
          <t>Grupo</t>
        </is>
      </c>
    </row>
    <row r="2">
      <c r="A2" s="2" t="inlineStr">
        <is>
          <t>CAT01</t>
        </is>
      </c>
      <c r="B2" s="2" t="inlineStr">
        <is>
          <t>Salario</t>
        </is>
      </c>
      <c r="C2" s="2" t="inlineStr">
        <is>
          <t>Receita</t>
        </is>
      </c>
      <c r="D2" s="2" t="inlineStr">
        <is>
          <t>Salario</t>
        </is>
      </c>
    </row>
    <row r="3">
      <c r="A3" s="2" t="inlineStr">
        <is>
          <t>CAT02</t>
        </is>
      </c>
      <c r="B3" s="2" t="inlineStr">
        <is>
          <t>Freelance / Extra</t>
        </is>
      </c>
      <c r="C3" s="2" t="inlineStr">
        <is>
          <t>Receita</t>
        </is>
      </c>
      <c r="D3" s="2" t="inlineStr">
        <is>
          <t>Salario</t>
        </is>
      </c>
    </row>
    <row r="4">
      <c r="A4" s="2" t="inlineStr">
        <is>
          <t>CAT03</t>
        </is>
      </c>
      <c r="B4" s="2" t="inlineStr">
        <is>
          <t>Rendimentos de Investimentos</t>
        </is>
      </c>
      <c r="C4" s="2" t="inlineStr">
        <is>
          <t>Receita</t>
        </is>
      </c>
      <c r="D4" s="2" t="inlineStr">
        <is>
          <t>Renda Variavel</t>
        </is>
      </c>
    </row>
    <row r="5">
      <c r="A5" s="2" t="inlineStr">
        <is>
          <t>CAT04</t>
        </is>
      </c>
      <c r="B5" s="2" t="inlineStr">
        <is>
          <t>Outras Receitas</t>
        </is>
      </c>
      <c r="C5" s="2" t="inlineStr">
        <is>
          <t>Receita</t>
        </is>
      </c>
      <c r="D5" s="2" t="inlineStr">
        <is>
          <t>Outros</t>
        </is>
      </c>
    </row>
    <row r="6">
      <c r="A6" s="2" t="inlineStr">
        <is>
          <t>CAT05</t>
        </is>
      </c>
      <c r="B6" s="2" t="inlineStr">
        <is>
          <t>Aluguel / Financiamento</t>
        </is>
      </c>
      <c r="C6" s="2" t="inlineStr">
        <is>
          <t>Despesa</t>
        </is>
      </c>
      <c r="D6" s="2" t="inlineStr">
        <is>
          <t>Moradia</t>
        </is>
      </c>
    </row>
    <row r="7">
      <c r="A7" s="2" t="inlineStr">
        <is>
          <t>CAT06</t>
        </is>
      </c>
      <c r="B7" s="2" t="inlineStr">
        <is>
          <t>Condominio</t>
        </is>
      </c>
      <c r="C7" s="2" t="inlineStr">
        <is>
          <t>Despesa</t>
        </is>
      </c>
      <c r="D7" s="2" t="inlineStr">
        <is>
          <t>Moradia</t>
        </is>
      </c>
    </row>
    <row r="8">
      <c r="A8" s="2" t="inlineStr">
        <is>
          <t>CAT07</t>
        </is>
      </c>
      <c r="B8" s="2" t="inlineStr">
        <is>
          <t>Energia Eletrica</t>
        </is>
      </c>
      <c r="C8" s="2" t="inlineStr">
        <is>
          <t>Despesa</t>
        </is>
      </c>
      <c r="D8" s="2" t="inlineStr">
        <is>
          <t>Moradia</t>
        </is>
      </c>
    </row>
    <row r="9">
      <c r="A9" s="2" t="inlineStr">
        <is>
          <t>CAT08</t>
        </is>
      </c>
      <c r="B9" s="2" t="inlineStr">
        <is>
          <t>Agua</t>
        </is>
      </c>
      <c r="C9" s="2" t="inlineStr">
        <is>
          <t>Despesa</t>
        </is>
      </c>
      <c r="D9" s="2" t="inlineStr">
        <is>
          <t>Moradia</t>
        </is>
      </c>
    </row>
    <row r="10">
      <c r="A10" s="2" t="inlineStr">
        <is>
          <t>CAT09</t>
        </is>
      </c>
      <c r="B10" s="2" t="inlineStr">
        <is>
          <t>Internet / Telefone</t>
        </is>
      </c>
      <c r="C10" s="2" t="inlineStr">
        <is>
          <t>Despesa</t>
        </is>
      </c>
      <c r="D10" s="2" t="inlineStr">
        <is>
          <t>Moradia</t>
        </is>
      </c>
    </row>
    <row r="11">
      <c r="A11" s="2" t="inlineStr">
        <is>
          <t>CAT10</t>
        </is>
      </c>
      <c r="B11" s="2" t="inlineStr">
        <is>
          <t>Supermercado</t>
        </is>
      </c>
      <c r="C11" s="2" t="inlineStr">
        <is>
          <t>Despesa</t>
        </is>
      </c>
      <c r="D11" s="2" t="inlineStr">
        <is>
          <t>Alimentacao</t>
        </is>
      </c>
    </row>
    <row r="12">
      <c r="A12" s="2" t="inlineStr">
        <is>
          <t>CAT11</t>
        </is>
      </c>
      <c r="B12" s="2" t="inlineStr">
        <is>
          <t>Restaurantes / Delivery</t>
        </is>
      </c>
      <c r="C12" s="2" t="inlineStr">
        <is>
          <t>Despesa</t>
        </is>
      </c>
      <c r="D12" s="2" t="inlineStr">
        <is>
          <t>Alimentacao</t>
        </is>
      </c>
    </row>
    <row r="13">
      <c r="A13" s="2" t="inlineStr">
        <is>
          <t>CAT12</t>
        </is>
      </c>
      <c r="B13" s="2" t="inlineStr">
        <is>
          <t>Combustivel</t>
        </is>
      </c>
      <c r="C13" s="2" t="inlineStr">
        <is>
          <t>Despesa</t>
        </is>
      </c>
      <c r="D13" s="2" t="inlineStr">
        <is>
          <t>Transporte</t>
        </is>
      </c>
    </row>
    <row r="14">
      <c r="A14" s="2" t="inlineStr">
        <is>
          <t>CAT13</t>
        </is>
      </c>
      <c r="B14" s="2" t="inlineStr">
        <is>
          <t>Transporte por App / Publico</t>
        </is>
      </c>
      <c r="C14" s="2" t="inlineStr">
        <is>
          <t>Despesa</t>
        </is>
      </c>
      <c r="D14" s="2" t="inlineStr">
        <is>
          <t>Transporte</t>
        </is>
      </c>
    </row>
    <row r="15">
      <c r="A15" s="2" t="inlineStr">
        <is>
          <t>CAT14</t>
        </is>
      </c>
      <c r="B15" s="2" t="inlineStr">
        <is>
          <t>Manutencao Veiculo</t>
        </is>
      </c>
      <c r="C15" s="2" t="inlineStr">
        <is>
          <t>Despesa</t>
        </is>
      </c>
      <c r="D15" s="2" t="inlineStr">
        <is>
          <t>Transporte</t>
        </is>
      </c>
    </row>
    <row r="16">
      <c r="A16" s="2" t="inlineStr">
        <is>
          <t>CAT15</t>
        </is>
      </c>
      <c r="B16" s="2" t="inlineStr">
        <is>
          <t>Plano de Saude</t>
        </is>
      </c>
      <c r="C16" s="2" t="inlineStr">
        <is>
          <t>Despesa</t>
        </is>
      </c>
      <c r="D16" s="2" t="inlineStr">
        <is>
          <t>Saude</t>
        </is>
      </c>
    </row>
    <row r="17">
      <c r="A17" s="2" t="inlineStr">
        <is>
          <t>CAT16</t>
        </is>
      </c>
      <c r="B17" s="2" t="inlineStr">
        <is>
          <t>Farmacia</t>
        </is>
      </c>
      <c r="C17" s="2" t="inlineStr">
        <is>
          <t>Despesa</t>
        </is>
      </c>
      <c r="D17" s="2" t="inlineStr">
        <is>
          <t>Saude</t>
        </is>
      </c>
    </row>
    <row r="18">
      <c r="A18" s="2" t="inlineStr">
        <is>
          <t>CAT17</t>
        </is>
      </c>
      <c r="B18" s="2" t="inlineStr">
        <is>
          <t>Consultas / Exames</t>
        </is>
      </c>
      <c r="C18" s="2" t="inlineStr">
        <is>
          <t>Despesa</t>
        </is>
      </c>
      <c r="D18" s="2" t="inlineStr">
        <is>
          <t>Saude</t>
        </is>
      </c>
    </row>
    <row r="19">
      <c r="A19" s="2" t="inlineStr">
        <is>
          <t>CAT18</t>
        </is>
      </c>
      <c r="B19" s="2" t="inlineStr">
        <is>
          <t>Cinema / Lazer</t>
        </is>
      </c>
      <c r="C19" s="2" t="inlineStr">
        <is>
          <t>Despesa</t>
        </is>
      </c>
      <c r="D19" s="2" t="inlineStr">
        <is>
          <t>Lazer</t>
        </is>
      </c>
    </row>
    <row r="20">
      <c r="A20" s="2" t="inlineStr">
        <is>
          <t>CAT19</t>
        </is>
      </c>
      <c r="B20" s="2" t="inlineStr">
        <is>
          <t>Viagens</t>
        </is>
      </c>
      <c r="C20" s="2" t="inlineStr">
        <is>
          <t>Despesa</t>
        </is>
      </c>
      <c r="D20" s="2" t="inlineStr">
        <is>
          <t>Lazer</t>
        </is>
      </c>
    </row>
    <row r="21">
      <c r="A21" s="2" t="inlineStr">
        <is>
          <t>CAT20</t>
        </is>
      </c>
      <c r="B21" s="2" t="inlineStr">
        <is>
          <t>Cursos / Livros</t>
        </is>
      </c>
      <c r="C21" s="2" t="inlineStr">
        <is>
          <t>Despesa</t>
        </is>
      </c>
      <c r="D21" s="2" t="inlineStr">
        <is>
          <t>Educacao</t>
        </is>
      </c>
    </row>
    <row r="22">
      <c r="A22" s="2" t="inlineStr">
        <is>
          <t>CAT21</t>
        </is>
      </c>
      <c r="B22" s="2" t="inlineStr">
        <is>
          <t>Mensalidade Escolar</t>
        </is>
      </c>
      <c r="C22" s="2" t="inlineStr">
        <is>
          <t>Despesa</t>
        </is>
      </c>
      <c r="D22" s="2" t="inlineStr">
        <is>
          <t>Educacao</t>
        </is>
      </c>
    </row>
    <row r="23">
      <c r="A23" s="2" t="inlineStr">
        <is>
          <t>CAT22</t>
        </is>
      </c>
      <c r="B23" s="2" t="inlineStr">
        <is>
          <t>Streaming / Assinaturas</t>
        </is>
      </c>
      <c r="C23" s="2" t="inlineStr">
        <is>
          <t>Despesa</t>
        </is>
      </c>
      <c r="D23" s="2" t="inlineStr">
        <is>
          <t>Assinaturas</t>
        </is>
      </c>
    </row>
    <row r="24">
      <c r="A24" s="2" t="inlineStr">
        <is>
          <t>CAT23</t>
        </is>
      </c>
      <c r="B24" s="2" t="inlineStr">
        <is>
          <t>Vestuario</t>
        </is>
      </c>
      <c r="C24" s="2" t="inlineStr">
        <is>
          <t>Despesa</t>
        </is>
      </c>
      <c r="D24" s="2" t="inlineStr">
        <is>
          <t>Outros</t>
        </is>
      </c>
    </row>
    <row r="25">
      <c r="A25" s="2" t="inlineStr">
        <is>
          <t>CAT24</t>
        </is>
      </c>
      <c r="B25" s="2" t="inlineStr">
        <is>
          <t>Cuidados Pessoais</t>
        </is>
      </c>
      <c r="C25" s="2" t="inlineStr">
        <is>
          <t>Despesa</t>
        </is>
      </c>
      <c r="D25" s="2" t="inlineStr">
        <is>
          <t>Outros</t>
        </is>
      </c>
    </row>
    <row r="26">
      <c r="A26" s="2" t="inlineStr">
        <is>
          <t>CAT25</t>
        </is>
      </c>
      <c r="B26" s="2" t="inlineStr">
        <is>
          <t>Impostos / Taxas</t>
        </is>
      </c>
      <c r="C26" s="2" t="inlineStr">
        <is>
          <t>Despesa</t>
        </is>
      </c>
      <c r="D26" s="2" t="inlineStr">
        <is>
          <t>Outros</t>
        </is>
      </c>
    </row>
    <row r="27">
      <c r="A27" s="2" t="inlineStr">
        <is>
          <t>CAT26</t>
        </is>
      </c>
      <c r="B27" s="2" t="inlineStr">
        <is>
          <t>Pets</t>
        </is>
      </c>
      <c r="C27" s="2" t="inlineStr">
        <is>
          <t>Despesa</t>
        </is>
      </c>
      <c r="D27" s="2" t="inlineStr">
        <is>
          <t>Outros</t>
        </is>
      </c>
    </row>
    <row r="28">
      <c r="A28" s="2" t="inlineStr">
        <is>
          <t>CAT27</t>
        </is>
      </c>
      <c r="B28" s="2" t="inlineStr">
        <is>
          <t>Presentes / Doacoes</t>
        </is>
      </c>
      <c r="C28" s="2" t="inlineStr">
        <is>
          <t>Despesa</t>
        </is>
      </c>
      <c r="D28" s="2" t="inlineStr">
        <is>
          <t>Outros</t>
        </is>
      </c>
    </row>
    <row r="29">
      <c r="A29" s="2" t="inlineStr">
        <is>
          <t>CAT28</t>
        </is>
      </c>
      <c r="B29" s="2" t="inlineStr">
        <is>
          <t>Renda Fixa (CDB, Tesouro)</t>
        </is>
      </c>
      <c r="C29" s="2" t="inlineStr">
        <is>
          <t>Investimento</t>
        </is>
      </c>
      <c r="D29" s="2" t="inlineStr">
        <is>
          <t>Renda Fixa</t>
        </is>
      </c>
    </row>
    <row r="30">
      <c r="A30" s="2" t="inlineStr">
        <is>
          <t>CAT29</t>
        </is>
      </c>
      <c r="B30" s="2" t="inlineStr">
        <is>
          <t>Renda Variavel (Acoes, FIIs)</t>
        </is>
      </c>
      <c r="C30" s="2" t="inlineStr">
        <is>
          <t>Investimento</t>
        </is>
      </c>
      <c r="D30" s="2" t="inlineStr">
        <is>
          <t>Renda Variavel</t>
        </is>
      </c>
    </row>
    <row r="31">
      <c r="A31" s="2" t="inlineStr">
        <is>
          <t>CAT30</t>
        </is>
      </c>
      <c r="B31" s="2" t="inlineStr">
        <is>
          <t>Reserva de Emergencia</t>
        </is>
      </c>
      <c r="C31" s="2" t="inlineStr">
        <is>
          <t>Investimento</t>
        </is>
      </c>
      <c r="D31" s="2" t="inlineStr">
        <is>
          <t>Renda Fixa</t>
        </is>
      </c>
    </row>
    <row r="33">
      <c r="A33" s="4" t="inlineStr">
        <is>
          <t>Legenda: adicione/edite categorias livremente. Tipo deve ser Receita, Despesa ou Investimento (usado pelas formulas do Resumo_Mensal).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12" customWidth="1" min="9" max="9"/>
    <col width="12" customWidth="1" min="10" max="10"/>
    <col width="11" customWidth="1" min="11" max="11"/>
    <col width="22" customWidth="1" min="12" max="12"/>
    <col width="14" customWidth="1" min="13" max="13"/>
  </cols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Conta</t>
        </is>
      </c>
      <c r="E1" s="1" t="inlineStr">
        <is>
          <t>Categoria</t>
        </is>
      </c>
      <c r="F1" s="1" t="inlineStr">
        <is>
          <t>Descricao</t>
        </is>
      </c>
      <c r="G1" s="1" t="inlineStr">
        <is>
          <t>Valor</t>
        </is>
      </c>
      <c r="H1" s="1" t="inlineStr">
        <is>
          <t>Forma_Pagamento</t>
        </is>
      </c>
      <c r="I1" s="1" t="inlineStr">
        <is>
          <t>Parcela_Atual</t>
        </is>
      </c>
      <c r="J1" s="1" t="inlineStr">
        <is>
          <t>Total_Parcelas</t>
        </is>
      </c>
      <c r="K1" s="1" t="inlineStr">
        <is>
          <t>Recorrente</t>
        </is>
      </c>
      <c r="L1" s="1" t="inlineStr">
        <is>
          <t>Observacoes</t>
        </is>
      </c>
      <c r="M1" s="1" t="inlineStr">
        <is>
          <t>Mes_Referencia</t>
        </is>
      </c>
    </row>
    <row r="2">
      <c r="A2" s="2" t="inlineStr">
        <is>
          <t>LC0001</t>
        </is>
      </c>
      <c r="B2" s="5" t="n">
        <v>46239</v>
      </c>
      <c r="C2" s="2" t="inlineStr">
        <is>
          <t>Receita</t>
        </is>
      </c>
      <c r="D2" s="2" t="inlineStr">
        <is>
          <t>Banco do Brasil</t>
        </is>
      </c>
      <c r="E2" s="2" t="inlineStr">
        <is>
          <t>Salario</t>
        </is>
      </c>
      <c r="F2" s="2" t="inlineStr">
        <is>
          <t>Salario mensal</t>
        </is>
      </c>
      <c r="G2" s="3" t="n">
        <v>6500</v>
      </c>
      <c r="H2" s="2" t="inlineStr">
        <is>
          <t>Transferencia</t>
        </is>
      </c>
      <c r="I2" s="2" t="n">
        <v>1</v>
      </c>
      <c r="J2" s="2" t="n">
        <v>1</v>
      </c>
      <c r="K2" s="2" t="inlineStr">
        <is>
          <t>Sim</t>
        </is>
      </c>
      <c r="L2" s="2" t="inlineStr"/>
      <c r="M2" s="2">
        <f>IF(B2="","",TEXT(B2,"AAAA-MM"))</f>
        <v/>
      </c>
    </row>
    <row r="3">
      <c r="A3" s="2" t="inlineStr">
        <is>
          <t>LC0002</t>
        </is>
      </c>
      <c r="B3" s="5" t="n">
        <v>46240</v>
      </c>
      <c r="C3" s="2" t="inlineStr">
        <is>
          <t>Despesa</t>
        </is>
      </c>
      <c r="D3" s="2" t="inlineStr">
        <is>
          <t>Nubank Cartao</t>
        </is>
      </c>
      <c r="E3" s="2" t="inlineStr">
        <is>
          <t>Supermercado</t>
        </is>
      </c>
      <c r="F3" s="2" t="inlineStr">
        <is>
          <t>Compra do mes</t>
        </is>
      </c>
      <c r="G3" s="3" t="n">
        <v>780.5</v>
      </c>
      <c r="H3" s="2" t="inlineStr">
        <is>
          <t>Credito</t>
        </is>
      </c>
      <c r="I3" s="2" t="n">
        <v>1</v>
      </c>
      <c r="J3" s="2" t="n">
        <v>1</v>
      </c>
      <c r="K3" s="2" t="inlineStr">
        <is>
          <t>Nao</t>
        </is>
      </c>
      <c r="L3" s="2" t="inlineStr"/>
      <c r="M3" s="2">
        <f>IF(B3="","",TEXT(B3,"AAAA-MM"))</f>
        <v/>
      </c>
    </row>
    <row r="4">
      <c r="A4" s="2" t="inlineStr">
        <is>
          <t>LC0003</t>
        </is>
      </c>
      <c r="B4" s="5" t="n">
        <v>46244</v>
      </c>
      <c r="C4" s="2" t="inlineStr">
        <is>
          <t>Despesa</t>
        </is>
      </c>
      <c r="D4" s="2" t="inlineStr">
        <is>
          <t>Itau Conta</t>
        </is>
      </c>
      <c r="E4" s="2" t="inlineStr">
        <is>
          <t>Aluguel / Financiamento</t>
        </is>
      </c>
      <c r="F4" s="2" t="inlineStr">
        <is>
          <t>Aluguel</t>
        </is>
      </c>
      <c r="G4" s="3" t="n">
        <v>2100</v>
      </c>
      <c r="H4" s="2" t="inlineStr">
        <is>
          <t>Transferencia</t>
        </is>
      </c>
      <c r="I4" s="2" t="n">
        <v>1</v>
      </c>
      <c r="J4" s="2" t="n">
        <v>1</v>
      </c>
      <c r="K4" s="2" t="inlineStr">
        <is>
          <t>Sim</t>
        </is>
      </c>
      <c r="L4" s="2" t="inlineStr"/>
      <c r="M4" s="2">
        <f>IF(B4="","",TEXT(B4,"AAAA-MM"))</f>
        <v/>
      </c>
    </row>
    <row r="5">
      <c r="A5" s="2" t="inlineStr">
        <is>
          <t>LC0004</t>
        </is>
      </c>
      <c r="B5" s="5" t="n">
        <v>46249</v>
      </c>
      <c r="C5" s="2" t="inlineStr">
        <is>
          <t>Investimento</t>
        </is>
      </c>
      <c r="D5" s="2" t="inlineStr">
        <is>
          <t>Investimentos</t>
        </is>
      </c>
      <c r="E5" s="2" t="inlineStr">
        <is>
          <t>Renda Fixa (CDB, Tesouro)</t>
        </is>
      </c>
      <c r="F5" s="2" t="inlineStr">
        <is>
          <t>Aporte Tesouro Selic</t>
        </is>
      </c>
      <c r="G5" s="3" t="n">
        <v>500</v>
      </c>
      <c r="H5" s="2" t="inlineStr">
        <is>
          <t>Transferencia</t>
        </is>
      </c>
      <c r="I5" s="2" t="n">
        <v>1</v>
      </c>
      <c r="J5" s="2" t="n">
        <v>1</v>
      </c>
      <c r="K5" s="2" t="inlineStr">
        <is>
          <t>Sim</t>
        </is>
      </c>
      <c r="L5" s="2" t="inlineStr"/>
      <c r="M5" s="2">
        <f>IF(B5="","",TEXT(B5,"AAAA-MM"))</f>
        <v/>
      </c>
    </row>
    <row r="6">
      <c r="A6" s="2" t="inlineStr">
        <is>
          <t>LC0005</t>
        </is>
      </c>
      <c r="B6" s="5" t="n">
        <v>46267</v>
      </c>
      <c r="C6" s="2" t="inlineStr">
        <is>
          <t>Despesa</t>
        </is>
      </c>
      <c r="D6" s="2" t="inlineStr">
        <is>
          <t>Carteira</t>
        </is>
      </c>
      <c r="E6" s="2" t="inlineStr">
        <is>
          <t>Transporte por App / Publico</t>
        </is>
      </c>
      <c r="F6" s="2" t="inlineStr">
        <is>
          <t>Taxi</t>
        </is>
      </c>
      <c r="G6" s="3" t="n">
        <v>35</v>
      </c>
      <c r="H6" s="2" t="inlineStr">
        <is>
          <t>Dinheiro</t>
        </is>
      </c>
      <c r="I6" s="2" t="n">
        <v>1</v>
      </c>
      <c r="J6" s="2" t="n">
        <v>1</v>
      </c>
      <c r="K6" s="2" t="inlineStr">
        <is>
          <t>Nao</t>
        </is>
      </c>
      <c r="L6" s="2" t="inlineStr"/>
      <c r="M6" s="2">
        <f>IF(B6="","",TEXT(B6,"AAAA-MM"))</f>
        <v/>
      </c>
    </row>
    <row r="7">
      <c r="M7">
        <f>IF(B7="","",TEXT(B7,"AAAA-MM"))</f>
        <v/>
      </c>
    </row>
    <row r="8">
      <c r="M8">
        <f>IF(B8="","",TEXT(B8,"AAAA-MM"))</f>
        <v/>
      </c>
    </row>
    <row r="9">
      <c r="M9">
        <f>IF(B9="","",TEXT(B9,"AAAA-MM"))</f>
        <v/>
      </c>
    </row>
    <row r="10">
      <c r="M10">
        <f>IF(B10="","",TEXT(B10,"AAAA-MM"))</f>
        <v/>
      </c>
    </row>
    <row r="11">
      <c r="M11">
        <f>IF(B11="","",TEXT(B11,"AAAA-MM"))</f>
        <v/>
      </c>
    </row>
    <row r="12">
      <c r="M12">
        <f>IF(B12="","",TEXT(B12,"AAAA-MM"))</f>
        <v/>
      </c>
    </row>
    <row r="13">
      <c r="M13">
        <f>IF(B13="","",TEXT(B13,"AAAA-MM"))</f>
        <v/>
      </c>
    </row>
    <row r="14">
      <c r="M14">
        <f>IF(B14="","",TEXT(B14,"AAAA-MM"))</f>
        <v/>
      </c>
    </row>
    <row r="15">
      <c r="M15">
        <f>IF(B15="","",TEXT(B15,"AAAA-MM"))</f>
        <v/>
      </c>
    </row>
    <row r="16">
      <c r="M16">
        <f>IF(B16="","",TEXT(B16,"AAAA-MM"))</f>
        <v/>
      </c>
    </row>
    <row r="17">
      <c r="M17">
        <f>IF(B17="","",TEXT(B17,"AAAA-MM"))</f>
        <v/>
      </c>
    </row>
    <row r="18">
      <c r="M18">
        <f>IF(B18="","",TEXT(B18,"AAAA-MM"))</f>
        <v/>
      </c>
    </row>
    <row r="19">
      <c r="M19">
        <f>IF(B19="","",TEXT(B19,"AAAA-MM"))</f>
        <v/>
      </c>
    </row>
    <row r="20">
      <c r="M20">
        <f>IF(B20="","",TEXT(B20,"AAAA-MM"))</f>
        <v/>
      </c>
    </row>
    <row r="21">
      <c r="M21">
        <f>IF(B21="","",TEXT(B21,"AAAA-MM"))</f>
        <v/>
      </c>
    </row>
    <row r="22">
      <c r="M22">
        <f>IF(B22="","",TEXT(B22,"AAAA-MM"))</f>
        <v/>
      </c>
    </row>
    <row r="23">
      <c r="M23">
        <f>IF(B23="","",TEXT(B23,"AAAA-MM"))</f>
        <v/>
      </c>
    </row>
    <row r="24">
      <c r="M24">
        <f>IF(B24="","",TEXT(B24,"AAAA-MM"))</f>
        <v/>
      </c>
    </row>
    <row r="25">
      <c r="M25">
        <f>IF(B25="","",TEXT(B25,"AAAA-MM"))</f>
        <v/>
      </c>
    </row>
    <row r="26">
      <c r="M26">
        <f>IF(B26="","",TEXT(B26,"AAAA-MM"))</f>
        <v/>
      </c>
    </row>
    <row r="27">
      <c r="M27">
        <f>IF(B27="","",TEXT(B27,"AAAA-MM"))</f>
        <v/>
      </c>
    </row>
    <row r="28">
      <c r="M28">
        <f>IF(B28="","",TEXT(B28,"AAAA-MM"))</f>
        <v/>
      </c>
    </row>
    <row r="29">
      <c r="M29">
        <f>IF(B29="","",TEXT(B29,"AAAA-MM"))</f>
        <v/>
      </c>
    </row>
    <row r="30">
      <c r="M30">
        <f>IF(B30="","",TEXT(B30,"AAAA-MM"))</f>
        <v/>
      </c>
    </row>
    <row r="31">
      <c r="M31">
        <f>IF(B31="","",TEXT(B31,"AAAA-MM"))</f>
        <v/>
      </c>
    </row>
    <row r="32">
      <c r="M32">
        <f>IF(B32="","",TEXT(B32,"AAAA-MM"))</f>
        <v/>
      </c>
    </row>
    <row r="33">
      <c r="M33">
        <f>IF(B33="","",TEXT(B33,"AAAA-MM"))</f>
        <v/>
      </c>
    </row>
    <row r="34">
      <c r="M34">
        <f>IF(B34="","",TEXT(B34,"AAAA-MM"))</f>
        <v/>
      </c>
    </row>
    <row r="35">
      <c r="M35">
        <f>IF(B35="","",TEXT(B35,"AAAA-MM"))</f>
        <v/>
      </c>
    </row>
    <row r="36">
      <c r="M36">
        <f>IF(B36="","",TEXT(B36,"AAAA-MM"))</f>
        <v/>
      </c>
    </row>
    <row r="39">
      <c r="A39" s="4" t="inlineStr">
        <is>
          <t>Legenda: esta e a tabela principal, alimentada pelo formulario do AppSheet (uma linha por lancamento). Mes_Referencia e calculada automaticamente a partir da Data - nao editar manualmente. Linhas de exemplo (LC0001-LC0005) sao ficticias, pode apagar.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2" customWidth="1" min="8" max="8"/>
    <col width="26" customWidth="1" min="9" max="9"/>
    <col width="16" customWidth="1" min="10" max="10"/>
  </cols>
  <sheetData>
    <row r="1">
      <c r="A1" s="1" t="inlineStr">
        <is>
          <t>Mes</t>
        </is>
      </c>
      <c r="B1" s="1" t="inlineStr">
        <is>
          <t>Total_Receitas</t>
        </is>
      </c>
      <c r="C1" s="1" t="inlineStr">
        <is>
          <t>Total_Despesas</t>
        </is>
      </c>
      <c r="D1" s="1" t="inlineStr">
        <is>
          <t>Total_Investimentos</t>
        </is>
      </c>
      <c r="E1" s="1" t="inlineStr">
        <is>
          <t>Saldo_do_Mes</t>
        </is>
      </c>
      <c r="F1" s="1" t="inlineStr">
        <is>
          <t>Taxa_de_Poupanca</t>
        </is>
      </c>
      <c r="G1" s="1" t="inlineStr">
        <is>
          <t>Saldo_Acumulado</t>
        </is>
      </c>
      <c r="I1" s="6" t="inlineStr">
        <is>
          <t>Gastos por Categoria - Mes mais recente</t>
        </is>
      </c>
    </row>
    <row r="2">
      <c r="A2" s="7" t="inlineStr">
        <is>
          <t>2025-10</t>
        </is>
      </c>
      <c r="B2" s="3">
        <f>SUMIFS(Lancamentos!$G:$G,Lancamentos!$C:$C,"Receita",Lancamentos!$M:$M,A2)</f>
        <v/>
      </c>
      <c r="C2" s="3">
        <f>SUMIFS(Lancamentos!$G:$G,Lancamentos!$C:$C,"Despesa",Lancamentos!$M:$M,A2)</f>
        <v/>
      </c>
      <c r="D2" s="3">
        <f>SUMIFS(Lancamentos!$G:$G,Lancamentos!$C:$C,"Investimento",Lancamentos!$M:$M,A2)</f>
        <v/>
      </c>
      <c r="E2" s="3">
        <f>B2-C2-D2</f>
        <v/>
      </c>
      <c r="F2" s="8">
        <f>IFERROR(E2/B2,0)</f>
        <v/>
      </c>
      <c r="G2" s="3">
        <f>E2</f>
        <v/>
      </c>
      <c r="I2" s="9" t="inlineStr">
        <is>
          <t>Categoria</t>
        </is>
      </c>
      <c r="J2" s="9" t="inlineStr">
        <is>
          <t>Total_Gasto</t>
        </is>
      </c>
    </row>
    <row r="3">
      <c r="A3" s="7" t="inlineStr">
        <is>
          <t>2025-11</t>
        </is>
      </c>
      <c r="B3" s="3">
        <f>SUMIFS(Lancamentos!$G:$G,Lancamentos!$C:$C,"Receita",Lancamentos!$M:$M,A3)</f>
        <v/>
      </c>
      <c r="C3" s="3">
        <f>SUMIFS(Lancamentos!$G:$G,Lancamentos!$C:$C,"Despesa",Lancamentos!$M:$M,A3)</f>
        <v/>
      </c>
      <c r="D3" s="3">
        <f>SUMIFS(Lancamentos!$G:$G,Lancamentos!$C:$C,"Investimento",Lancamentos!$M:$M,A3)</f>
        <v/>
      </c>
      <c r="E3" s="3">
        <f>B3-C3-D3</f>
        <v/>
      </c>
      <c r="F3" s="8">
        <f>IFERROR(E3/B3,0)</f>
        <v/>
      </c>
      <c r="G3" s="3">
        <f>G2+E3</f>
        <v/>
      </c>
      <c r="I3" s="2" t="inlineStr">
        <is>
          <t>Aluguel / Financiamento</t>
        </is>
      </c>
      <c r="J3" s="10">
        <f>SUMIFS(Lancamentos!$G:$G,Lancamentos!$E:$E,I3,Lancamentos!$M:$M,$A$13)</f>
        <v/>
      </c>
    </row>
    <row r="4">
      <c r="A4" s="7" t="inlineStr">
        <is>
          <t>2025-12</t>
        </is>
      </c>
      <c r="B4" s="3">
        <f>SUMIFS(Lancamentos!$G:$G,Lancamentos!$C:$C,"Receita",Lancamentos!$M:$M,A4)</f>
        <v/>
      </c>
      <c r="C4" s="3">
        <f>SUMIFS(Lancamentos!$G:$G,Lancamentos!$C:$C,"Despesa",Lancamentos!$M:$M,A4)</f>
        <v/>
      </c>
      <c r="D4" s="3">
        <f>SUMIFS(Lancamentos!$G:$G,Lancamentos!$C:$C,"Investimento",Lancamentos!$M:$M,A4)</f>
        <v/>
      </c>
      <c r="E4" s="3">
        <f>B4-C4-D4</f>
        <v/>
      </c>
      <c r="F4" s="8">
        <f>IFERROR(E4/B4,0)</f>
        <v/>
      </c>
      <c r="G4" s="3">
        <f>G3+E4</f>
        <v/>
      </c>
      <c r="I4" s="2" t="inlineStr">
        <is>
          <t>Condominio</t>
        </is>
      </c>
      <c r="J4" s="10">
        <f>SUMIFS(Lancamentos!$G:$G,Lancamentos!$E:$E,I4,Lancamentos!$M:$M,$A$13)</f>
        <v/>
      </c>
    </row>
    <row r="5">
      <c r="A5" s="7" t="inlineStr">
        <is>
          <t>2026-01</t>
        </is>
      </c>
      <c r="B5" s="3">
        <f>SUMIFS(Lancamentos!$G:$G,Lancamentos!$C:$C,"Receita",Lancamentos!$M:$M,A5)</f>
        <v/>
      </c>
      <c r="C5" s="3">
        <f>SUMIFS(Lancamentos!$G:$G,Lancamentos!$C:$C,"Despesa",Lancamentos!$M:$M,A5)</f>
        <v/>
      </c>
      <c r="D5" s="3">
        <f>SUMIFS(Lancamentos!$G:$G,Lancamentos!$C:$C,"Investimento",Lancamentos!$M:$M,A5)</f>
        <v/>
      </c>
      <c r="E5" s="3">
        <f>B5-C5-D5</f>
        <v/>
      </c>
      <c r="F5" s="8">
        <f>IFERROR(E5/B5,0)</f>
        <v/>
      </c>
      <c r="G5" s="3">
        <f>G4+E5</f>
        <v/>
      </c>
      <c r="I5" s="2" t="inlineStr">
        <is>
          <t>Energia Eletrica</t>
        </is>
      </c>
      <c r="J5" s="10">
        <f>SUMIFS(Lancamentos!$G:$G,Lancamentos!$E:$E,I5,Lancamentos!$M:$M,$A$13)</f>
        <v/>
      </c>
    </row>
    <row r="6">
      <c r="A6" s="7" t="inlineStr">
        <is>
          <t>2026-02</t>
        </is>
      </c>
      <c r="B6" s="3">
        <f>SUMIFS(Lancamentos!$G:$G,Lancamentos!$C:$C,"Receita",Lancamentos!$M:$M,A6)</f>
        <v/>
      </c>
      <c r="C6" s="3">
        <f>SUMIFS(Lancamentos!$G:$G,Lancamentos!$C:$C,"Despesa",Lancamentos!$M:$M,A6)</f>
        <v/>
      </c>
      <c r="D6" s="3">
        <f>SUMIFS(Lancamentos!$G:$G,Lancamentos!$C:$C,"Investimento",Lancamentos!$M:$M,A6)</f>
        <v/>
      </c>
      <c r="E6" s="3">
        <f>B6-C6-D6</f>
        <v/>
      </c>
      <c r="F6" s="8">
        <f>IFERROR(E6/B6,0)</f>
        <v/>
      </c>
      <c r="G6" s="3">
        <f>G5+E6</f>
        <v/>
      </c>
      <c r="I6" s="2" t="inlineStr">
        <is>
          <t>Agua</t>
        </is>
      </c>
      <c r="J6" s="10">
        <f>SUMIFS(Lancamentos!$G:$G,Lancamentos!$E:$E,I6,Lancamentos!$M:$M,$A$13)</f>
        <v/>
      </c>
    </row>
    <row r="7">
      <c r="A7" s="7" t="inlineStr">
        <is>
          <t>2026-03</t>
        </is>
      </c>
      <c r="B7" s="3">
        <f>SUMIFS(Lancamentos!$G:$G,Lancamentos!$C:$C,"Receita",Lancamentos!$M:$M,A7)</f>
        <v/>
      </c>
      <c r="C7" s="3">
        <f>SUMIFS(Lancamentos!$G:$G,Lancamentos!$C:$C,"Despesa",Lancamentos!$M:$M,A7)</f>
        <v/>
      </c>
      <c r="D7" s="3">
        <f>SUMIFS(Lancamentos!$G:$G,Lancamentos!$C:$C,"Investimento",Lancamentos!$M:$M,A7)</f>
        <v/>
      </c>
      <c r="E7" s="3">
        <f>B7-C7-D7</f>
        <v/>
      </c>
      <c r="F7" s="8">
        <f>IFERROR(E7/B7,0)</f>
        <v/>
      </c>
      <c r="G7" s="3">
        <f>G6+E7</f>
        <v/>
      </c>
      <c r="I7" s="2" t="inlineStr">
        <is>
          <t>Internet / Telefone</t>
        </is>
      </c>
      <c r="J7" s="10">
        <f>SUMIFS(Lancamentos!$G:$G,Lancamentos!$E:$E,I7,Lancamentos!$M:$M,$A$13)</f>
        <v/>
      </c>
    </row>
    <row r="8">
      <c r="A8" s="7" t="inlineStr">
        <is>
          <t>2026-04</t>
        </is>
      </c>
      <c r="B8" s="3">
        <f>SUMIFS(Lancamentos!$G:$G,Lancamentos!$C:$C,"Receita",Lancamentos!$M:$M,A8)</f>
        <v/>
      </c>
      <c r="C8" s="3">
        <f>SUMIFS(Lancamentos!$G:$G,Lancamentos!$C:$C,"Despesa",Lancamentos!$M:$M,A8)</f>
        <v/>
      </c>
      <c r="D8" s="3">
        <f>SUMIFS(Lancamentos!$G:$G,Lancamentos!$C:$C,"Investimento",Lancamentos!$M:$M,A8)</f>
        <v/>
      </c>
      <c r="E8" s="3">
        <f>B8-C8-D8</f>
        <v/>
      </c>
      <c r="F8" s="8">
        <f>IFERROR(E8/B8,0)</f>
        <v/>
      </c>
      <c r="G8" s="3">
        <f>G7+E8</f>
        <v/>
      </c>
      <c r="I8" s="2" t="inlineStr">
        <is>
          <t>Supermercado</t>
        </is>
      </c>
      <c r="J8" s="10">
        <f>SUMIFS(Lancamentos!$G:$G,Lancamentos!$E:$E,I8,Lancamentos!$M:$M,$A$13)</f>
        <v/>
      </c>
    </row>
    <row r="9">
      <c r="A9" s="7" t="inlineStr">
        <is>
          <t>2026-05</t>
        </is>
      </c>
      <c r="B9" s="3">
        <f>SUMIFS(Lancamentos!$G:$G,Lancamentos!$C:$C,"Receita",Lancamentos!$M:$M,A9)</f>
        <v/>
      </c>
      <c r="C9" s="3">
        <f>SUMIFS(Lancamentos!$G:$G,Lancamentos!$C:$C,"Despesa",Lancamentos!$M:$M,A9)</f>
        <v/>
      </c>
      <c r="D9" s="3">
        <f>SUMIFS(Lancamentos!$G:$G,Lancamentos!$C:$C,"Investimento",Lancamentos!$M:$M,A9)</f>
        <v/>
      </c>
      <c r="E9" s="3">
        <f>B9-C9-D9</f>
        <v/>
      </c>
      <c r="F9" s="8">
        <f>IFERROR(E9/B9,0)</f>
        <v/>
      </c>
      <c r="G9" s="3">
        <f>G8+E9</f>
        <v/>
      </c>
      <c r="I9" s="2" t="inlineStr">
        <is>
          <t>Restaurantes / Delivery</t>
        </is>
      </c>
      <c r="J9" s="10">
        <f>SUMIFS(Lancamentos!$G:$G,Lancamentos!$E:$E,I9,Lancamentos!$M:$M,$A$13)</f>
        <v/>
      </c>
    </row>
    <row r="10">
      <c r="A10" s="7" t="inlineStr">
        <is>
          <t>2026-06</t>
        </is>
      </c>
      <c r="B10" s="3">
        <f>SUMIFS(Lancamentos!$G:$G,Lancamentos!$C:$C,"Receita",Lancamentos!$M:$M,A10)</f>
        <v/>
      </c>
      <c r="C10" s="3">
        <f>SUMIFS(Lancamentos!$G:$G,Lancamentos!$C:$C,"Despesa",Lancamentos!$M:$M,A10)</f>
        <v/>
      </c>
      <c r="D10" s="3">
        <f>SUMIFS(Lancamentos!$G:$G,Lancamentos!$C:$C,"Investimento",Lancamentos!$M:$M,A10)</f>
        <v/>
      </c>
      <c r="E10" s="3">
        <f>B10-C10-D10</f>
        <v/>
      </c>
      <c r="F10" s="8">
        <f>IFERROR(E10/B10,0)</f>
        <v/>
      </c>
      <c r="G10" s="3">
        <f>G9+E10</f>
        <v/>
      </c>
      <c r="I10" s="2" t="inlineStr">
        <is>
          <t>Combustivel</t>
        </is>
      </c>
      <c r="J10" s="10">
        <f>SUMIFS(Lancamentos!$G:$G,Lancamentos!$E:$E,I10,Lancamentos!$M:$M,$A$13)</f>
        <v/>
      </c>
    </row>
    <row r="11">
      <c r="A11" s="7" t="inlineStr">
        <is>
          <t>2026-07</t>
        </is>
      </c>
      <c r="B11" s="3">
        <f>SUMIFS(Lancamentos!$G:$G,Lancamentos!$C:$C,"Receita",Lancamentos!$M:$M,A11)</f>
        <v/>
      </c>
      <c r="C11" s="3">
        <f>SUMIFS(Lancamentos!$G:$G,Lancamentos!$C:$C,"Despesa",Lancamentos!$M:$M,A11)</f>
        <v/>
      </c>
      <c r="D11" s="3">
        <f>SUMIFS(Lancamentos!$G:$G,Lancamentos!$C:$C,"Investimento",Lancamentos!$M:$M,A11)</f>
        <v/>
      </c>
      <c r="E11" s="3">
        <f>B11-C11-D11</f>
        <v/>
      </c>
      <c r="F11" s="8">
        <f>IFERROR(E11/B11,0)</f>
        <v/>
      </c>
      <c r="G11" s="3">
        <f>G10+E11</f>
        <v/>
      </c>
      <c r="I11" s="2" t="inlineStr">
        <is>
          <t>Transporte por App / Publico</t>
        </is>
      </c>
      <c r="J11" s="10">
        <f>SUMIFS(Lancamentos!$G:$G,Lancamentos!$E:$E,I11,Lancamentos!$M:$M,$A$13)</f>
        <v/>
      </c>
    </row>
    <row r="12">
      <c r="A12" s="7" t="inlineStr">
        <is>
          <t>2026-08</t>
        </is>
      </c>
      <c r="B12" s="3">
        <f>SUMIFS(Lancamentos!$G:$G,Lancamentos!$C:$C,"Receita",Lancamentos!$M:$M,A12)</f>
        <v/>
      </c>
      <c r="C12" s="3">
        <f>SUMIFS(Lancamentos!$G:$G,Lancamentos!$C:$C,"Despesa",Lancamentos!$M:$M,A12)</f>
        <v/>
      </c>
      <c r="D12" s="3">
        <f>SUMIFS(Lancamentos!$G:$G,Lancamentos!$C:$C,"Investimento",Lancamentos!$M:$M,A12)</f>
        <v/>
      </c>
      <c r="E12" s="3">
        <f>B12-C12-D12</f>
        <v/>
      </c>
      <c r="F12" s="8">
        <f>IFERROR(E12/B12,0)</f>
        <v/>
      </c>
      <c r="G12" s="3">
        <f>G11+E12</f>
        <v/>
      </c>
      <c r="I12" s="2" t="inlineStr">
        <is>
          <t>Manutencao Veiculo</t>
        </is>
      </c>
      <c r="J12" s="10">
        <f>SUMIFS(Lancamentos!$G:$G,Lancamentos!$E:$E,I12,Lancamentos!$M:$M,$A$13)</f>
        <v/>
      </c>
    </row>
    <row r="13">
      <c r="A13" s="7" t="inlineStr">
        <is>
          <t>2026-09</t>
        </is>
      </c>
      <c r="B13" s="3">
        <f>SUMIFS(Lancamentos!$G:$G,Lancamentos!$C:$C,"Receita",Lancamentos!$M:$M,A13)</f>
        <v/>
      </c>
      <c r="C13" s="3">
        <f>SUMIFS(Lancamentos!$G:$G,Lancamentos!$C:$C,"Despesa",Lancamentos!$M:$M,A13)</f>
        <v/>
      </c>
      <c r="D13" s="3">
        <f>SUMIFS(Lancamentos!$G:$G,Lancamentos!$C:$C,"Investimento",Lancamentos!$M:$M,A13)</f>
        <v/>
      </c>
      <c r="E13" s="3">
        <f>B13-C13-D13</f>
        <v/>
      </c>
      <c r="F13" s="8">
        <f>IFERROR(E13/B13,0)</f>
        <v/>
      </c>
      <c r="G13" s="3">
        <f>G12+E13</f>
        <v/>
      </c>
      <c r="I13" s="2" t="inlineStr">
        <is>
          <t>Plano de Saude</t>
        </is>
      </c>
      <c r="J13" s="10">
        <f>SUMIFS(Lancamentos!$G:$G,Lancamentos!$E:$E,I13,Lancamentos!$M:$M,$A$13)</f>
        <v/>
      </c>
    </row>
    <row r="14">
      <c r="I14" s="2" t="inlineStr">
        <is>
          <t>Farmacia</t>
        </is>
      </c>
      <c r="J14" s="10">
        <f>SUMIFS(Lancamentos!$G:$G,Lancamentos!$E:$E,I14,Lancamentos!$M:$M,$A$13)</f>
        <v/>
      </c>
    </row>
    <row r="15">
      <c r="A15" s="4" t="inlineStr">
        <is>
          <t>Legenda: esta aba e 100% calculada a partir da aba Lancamentos - nao editar as formulas. 'Mes' esta no formato AAAA-MM e cobre os ultimos 12 meses. A tabela 'Gastos por Categoria' sempre mostra o mes mais recente da lista ao lado.</t>
        </is>
      </c>
      <c r="I15" s="2" t="inlineStr">
        <is>
          <t>Consultas / Exames</t>
        </is>
      </c>
      <c r="J15" s="10">
        <f>SUMIFS(Lancamentos!$G:$G,Lancamentos!$E:$E,I15,Lancamentos!$M:$M,$A$13)</f>
        <v/>
      </c>
    </row>
    <row r="16">
      <c r="I16" s="2" t="inlineStr">
        <is>
          <t>Cinema / Lazer</t>
        </is>
      </c>
      <c r="J16" s="10">
        <f>SUMIFS(Lancamentos!$G:$G,Lancamentos!$E:$E,I16,Lancamentos!$M:$M,$A$13)</f>
        <v/>
      </c>
    </row>
    <row r="17">
      <c r="I17" s="2" t="inlineStr">
        <is>
          <t>Viagens</t>
        </is>
      </c>
      <c r="J17" s="10">
        <f>SUMIFS(Lancamentos!$G:$G,Lancamentos!$E:$E,I17,Lancamentos!$M:$M,$A$13)</f>
        <v/>
      </c>
    </row>
    <row r="18">
      <c r="I18" s="2" t="inlineStr">
        <is>
          <t>Cursos / Livros</t>
        </is>
      </c>
      <c r="J18" s="10">
        <f>SUMIFS(Lancamentos!$G:$G,Lancamentos!$E:$E,I18,Lancamentos!$M:$M,$A$13)</f>
        <v/>
      </c>
    </row>
    <row r="19">
      <c r="I19" s="2" t="inlineStr">
        <is>
          <t>Mensalidade Escolar</t>
        </is>
      </c>
      <c r="J19" s="10">
        <f>SUMIFS(Lancamentos!$G:$G,Lancamentos!$E:$E,I19,Lancamentos!$M:$M,$A$13)</f>
        <v/>
      </c>
    </row>
    <row r="20">
      <c r="I20" s="2" t="inlineStr">
        <is>
          <t>Streaming / Assinaturas</t>
        </is>
      </c>
      <c r="J20" s="10">
        <f>SUMIFS(Lancamentos!$G:$G,Lancamentos!$E:$E,I20,Lancamentos!$M:$M,$A$13)</f>
        <v/>
      </c>
    </row>
    <row r="21">
      <c r="I21" s="2" t="inlineStr">
        <is>
          <t>Vestuario</t>
        </is>
      </c>
      <c r="J21" s="10">
        <f>SUMIFS(Lancamentos!$G:$G,Lancamentos!$E:$E,I21,Lancamentos!$M:$M,$A$13)</f>
        <v/>
      </c>
    </row>
    <row r="22">
      <c r="I22" s="2" t="inlineStr">
        <is>
          <t>Cuidados Pessoais</t>
        </is>
      </c>
      <c r="J22" s="10">
        <f>SUMIFS(Lancamentos!$G:$G,Lancamentos!$E:$E,I22,Lancamentos!$M:$M,$A$13)</f>
        <v/>
      </c>
    </row>
    <row r="23">
      <c r="I23" s="2" t="inlineStr">
        <is>
          <t>Impostos / Taxas</t>
        </is>
      </c>
      <c r="J23" s="10">
        <f>SUMIFS(Lancamentos!$G:$G,Lancamentos!$E:$E,I23,Lancamentos!$M:$M,$A$13)</f>
        <v/>
      </c>
    </row>
    <row r="24">
      <c r="I24" s="2" t="inlineStr">
        <is>
          <t>Pets</t>
        </is>
      </c>
      <c r="J24" s="10">
        <f>SUMIFS(Lancamentos!$G:$G,Lancamentos!$E:$E,I24,Lancamentos!$M:$M,$A$13)</f>
        <v/>
      </c>
    </row>
    <row r="25">
      <c r="I25" s="2" t="inlineStr">
        <is>
          <t>Presentes / Doacoes</t>
        </is>
      </c>
      <c r="J25" s="10">
        <f>SUMIFS(Lancamentos!$G:$G,Lancamentos!$E:$E,I25,Lancamentos!$M:$M,$A$13)</f>
        <v/>
      </c>
    </row>
  </sheetData>
  <mergeCells count="1"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Categoria</t>
        </is>
      </c>
      <c r="B1" s="1" t="inlineStr">
        <is>
          <t>Valor_Orcado</t>
        </is>
      </c>
      <c r="C1" s="1" t="inlineStr">
        <is>
          <t>Valor_Gasto</t>
        </is>
      </c>
      <c r="D1" s="1" t="inlineStr">
        <is>
          <t>Diferenca</t>
        </is>
      </c>
      <c r="E1" s="1" t="inlineStr">
        <is>
          <t>Status</t>
        </is>
      </c>
    </row>
    <row r="2">
      <c r="A2" s="2" t="inlineStr">
        <is>
          <t>Aluguel / Financiamento</t>
        </is>
      </c>
      <c r="B2" s="11" t="n">
        <v>0</v>
      </c>
      <c r="C2" s="10">
        <f>SUMIFS(Lancamentos!$G:$G,Lancamentos!$E:$E,A2,Lancamentos!$M:$M,TEXT(TODAY(),"AAAA-MM"))</f>
        <v/>
      </c>
      <c r="D2" s="10">
        <f>B2-C2</f>
        <v/>
      </c>
      <c r="E2" s="12">
        <f>IF(B2=0,"Sem orcamento",IF(C2&lt;=B2,"Dentro do orcado","Estourado"))</f>
        <v/>
      </c>
    </row>
    <row r="3">
      <c r="A3" s="2" t="inlineStr">
        <is>
          <t>Condominio</t>
        </is>
      </c>
      <c r="B3" s="11" t="n">
        <v>0</v>
      </c>
      <c r="C3" s="10">
        <f>SUMIFS(Lancamentos!$G:$G,Lancamentos!$E:$E,A3,Lancamentos!$M:$M,TEXT(TODAY(),"AAAA-MM"))</f>
        <v/>
      </c>
      <c r="D3" s="10">
        <f>B3-C3</f>
        <v/>
      </c>
      <c r="E3" s="12">
        <f>IF(B3=0,"Sem orcamento",IF(C3&lt;=B3,"Dentro do orcado","Estourado"))</f>
        <v/>
      </c>
    </row>
    <row r="4">
      <c r="A4" s="2" t="inlineStr">
        <is>
          <t>Energia Eletrica</t>
        </is>
      </c>
      <c r="B4" s="11" t="n">
        <v>0</v>
      </c>
      <c r="C4" s="10">
        <f>SUMIFS(Lancamentos!$G:$G,Lancamentos!$E:$E,A4,Lancamentos!$M:$M,TEXT(TODAY(),"AAAA-MM"))</f>
        <v/>
      </c>
      <c r="D4" s="10">
        <f>B4-C4</f>
        <v/>
      </c>
      <c r="E4" s="12">
        <f>IF(B4=0,"Sem orcamento",IF(C4&lt;=B4,"Dentro do orcado","Estourado"))</f>
        <v/>
      </c>
    </row>
    <row r="5">
      <c r="A5" s="2" t="inlineStr">
        <is>
          <t>Agua</t>
        </is>
      </c>
      <c r="B5" s="11" t="n">
        <v>0</v>
      </c>
      <c r="C5" s="10">
        <f>SUMIFS(Lancamentos!$G:$G,Lancamentos!$E:$E,A5,Lancamentos!$M:$M,TEXT(TODAY(),"AAAA-MM"))</f>
        <v/>
      </c>
      <c r="D5" s="10">
        <f>B5-C5</f>
        <v/>
      </c>
      <c r="E5" s="12">
        <f>IF(B5=0,"Sem orcamento",IF(C5&lt;=B5,"Dentro do orcado","Estourado"))</f>
        <v/>
      </c>
    </row>
    <row r="6">
      <c r="A6" s="2" t="inlineStr">
        <is>
          <t>Internet / Telefone</t>
        </is>
      </c>
      <c r="B6" s="11" t="n">
        <v>0</v>
      </c>
      <c r="C6" s="10">
        <f>SUMIFS(Lancamentos!$G:$G,Lancamentos!$E:$E,A6,Lancamentos!$M:$M,TEXT(TODAY(),"AAAA-MM"))</f>
        <v/>
      </c>
      <c r="D6" s="10">
        <f>B6-C6</f>
        <v/>
      </c>
      <c r="E6" s="12">
        <f>IF(B6=0,"Sem orcamento",IF(C6&lt;=B6,"Dentro do orcado","Estourado"))</f>
        <v/>
      </c>
    </row>
    <row r="7">
      <c r="A7" s="2" t="inlineStr">
        <is>
          <t>Supermercado</t>
        </is>
      </c>
      <c r="B7" s="11" t="n">
        <v>0</v>
      </c>
      <c r="C7" s="10">
        <f>SUMIFS(Lancamentos!$G:$G,Lancamentos!$E:$E,A7,Lancamentos!$M:$M,TEXT(TODAY(),"AAAA-MM"))</f>
        <v/>
      </c>
      <c r="D7" s="10">
        <f>B7-C7</f>
        <v/>
      </c>
      <c r="E7" s="12">
        <f>IF(B7=0,"Sem orcamento",IF(C7&lt;=B7,"Dentro do orcado","Estourado"))</f>
        <v/>
      </c>
    </row>
    <row r="8">
      <c r="A8" s="2" t="inlineStr">
        <is>
          <t>Restaurantes / Delivery</t>
        </is>
      </c>
      <c r="B8" s="11" t="n">
        <v>0</v>
      </c>
      <c r="C8" s="10">
        <f>SUMIFS(Lancamentos!$G:$G,Lancamentos!$E:$E,A8,Lancamentos!$M:$M,TEXT(TODAY(),"AAAA-MM"))</f>
        <v/>
      </c>
      <c r="D8" s="10">
        <f>B8-C8</f>
        <v/>
      </c>
      <c r="E8" s="12">
        <f>IF(B8=0,"Sem orcamento",IF(C8&lt;=B8,"Dentro do orcado","Estourado"))</f>
        <v/>
      </c>
    </row>
    <row r="9">
      <c r="A9" s="2" t="inlineStr">
        <is>
          <t>Combustivel</t>
        </is>
      </c>
      <c r="B9" s="11" t="n">
        <v>0</v>
      </c>
      <c r="C9" s="10">
        <f>SUMIFS(Lancamentos!$G:$G,Lancamentos!$E:$E,A9,Lancamentos!$M:$M,TEXT(TODAY(),"AAAA-MM"))</f>
        <v/>
      </c>
      <c r="D9" s="10">
        <f>B9-C9</f>
        <v/>
      </c>
      <c r="E9" s="12">
        <f>IF(B9=0,"Sem orcamento",IF(C9&lt;=B9,"Dentro do orcado","Estourado"))</f>
        <v/>
      </c>
    </row>
    <row r="10">
      <c r="A10" s="2" t="inlineStr">
        <is>
          <t>Transporte por App / Publico</t>
        </is>
      </c>
      <c r="B10" s="11" t="n">
        <v>0</v>
      </c>
      <c r="C10" s="10">
        <f>SUMIFS(Lancamentos!$G:$G,Lancamentos!$E:$E,A10,Lancamentos!$M:$M,TEXT(TODAY(),"AAAA-MM"))</f>
        <v/>
      </c>
      <c r="D10" s="10">
        <f>B10-C10</f>
        <v/>
      </c>
      <c r="E10" s="12">
        <f>IF(B10=0,"Sem orcamento",IF(C10&lt;=B10,"Dentro do orcado","Estourado"))</f>
        <v/>
      </c>
    </row>
    <row r="11">
      <c r="A11" s="2" t="inlineStr">
        <is>
          <t>Manutencao Veiculo</t>
        </is>
      </c>
      <c r="B11" s="11" t="n">
        <v>0</v>
      </c>
      <c r="C11" s="10">
        <f>SUMIFS(Lancamentos!$G:$G,Lancamentos!$E:$E,A11,Lancamentos!$M:$M,TEXT(TODAY(),"AAAA-MM"))</f>
        <v/>
      </c>
      <c r="D11" s="10">
        <f>B11-C11</f>
        <v/>
      </c>
      <c r="E11" s="12">
        <f>IF(B11=0,"Sem orcamento",IF(C11&lt;=B11,"Dentro do orcado","Estourado"))</f>
        <v/>
      </c>
    </row>
    <row r="12">
      <c r="A12" s="2" t="inlineStr">
        <is>
          <t>Plano de Saude</t>
        </is>
      </c>
      <c r="B12" s="11" t="n">
        <v>0</v>
      </c>
      <c r="C12" s="10">
        <f>SUMIFS(Lancamentos!$G:$G,Lancamentos!$E:$E,A12,Lancamentos!$M:$M,TEXT(TODAY(),"AAAA-MM"))</f>
        <v/>
      </c>
      <c r="D12" s="10">
        <f>B12-C12</f>
        <v/>
      </c>
      <c r="E12" s="12">
        <f>IF(B12=0,"Sem orcamento",IF(C12&lt;=B12,"Dentro do orcado","Estourado"))</f>
        <v/>
      </c>
    </row>
    <row r="13">
      <c r="A13" s="2" t="inlineStr">
        <is>
          <t>Farmacia</t>
        </is>
      </c>
      <c r="B13" s="11" t="n">
        <v>0</v>
      </c>
      <c r="C13" s="10">
        <f>SUMIFS(Lancamentos!$G:$G,Lancamentos!$E:$E,A13,Lancamentos!$M:$M,TEXT(TODAY(),"AAAA-MM"))</f>
        <v/>
      </c>
      <c r="D13" s="10">
        <f>B13-C13</f>
        <v/>
      </c>
      <c r="E13" s="12">
        <f>IF(B13=0,"Sem orcamento",IF(C13&lt;=B13,"Dentro do orcado","Estourado"))</f>
        <v/>
      </c>
    </row>
    <row r="14">
      <c r="A14" s="2" t="inlineStr">
        <is>
          <t>Consultas / Exames</t>
        </is>
      </c>
      <c r="B14" s="11" t="n">
        <v>0</v>
      </c>
      <c r="C14" s="10">
        <f>SUMIFS(Lancamentos!$G:$G,Lancamentos!$E:$E,A14,Lancamentos!$M:$M,TEXT(TODAY(),"AAAA-MM"))</f>
        <v/>
      </c>
      <c r="D14" s="10">
        <f>B14-C14</f>
        <v/>
      </c>
      <c r="E14" s="12">
        <f>IF(B14=0,"Sem orcamento",IF(C14&lt;=B14,"Dentro do orcado","Estourado"))</f>
        <v/>
      </c>
    </row>
    <row r="15">
      <c r="A15" s="2" t="inlineStr">
        <is>
          <t>Cinema / Lazer</t>
        </is>
      </c>
      <c r="B15" s="11" t="n">
        <v>0</v>
      </c>
      <c r="C15" s="10">
        <f>SUMIFS(Lancamentos!$G:$G,Lancamentos!$E:$E,A15,Lancamentos!$M:$M,TEXT(TODAY(),"AAAA-MM"))</f>
        <v/>
      </c>
      <c r="D15" s="10">
        <f>B15-C15</f>
        <v/>
      </c>
      <c r="E15" s="12">
        <f>IF(B15=0,"Sem orcamento",IF(C15&lt;=B15,"Dentro do orcado","Estourado"))</f>
        <v/>
      </c>
    </row>
    <row r="16">
      <c r="A16" s="2" t="inlineStr">
        <is>
          <t>Viagens</t>
        </is>
      </c>
      <c r="B16" s="11" t="n">
        <v>0</v>
      </c>
      <c r="C16" s="10">
        <f>SUMIFS(Lancamentos!$G:$G,Lancamentos!$E:$E,A16,Lancamentos!$M:$M,TEXT(TODAY(),"AAAA-MM"))</f>
        <v/>
      </c>
      <c r="D16" s="10">
        <f>B16-C16</f>
        <v/>
      </c>
      <c r="E16" s="12">
        <f>IF(B16=0,"Sem orcamento",IF(C16&lt;=B16,"Dentro do orcado","Estourado"))</f>
        <v/>
      </c>
    </row>
    <row r="17">
      <c r="A17" s="2" t="inlineStr">
        <is>
          <t>Cursos / Livros</t>
        </is>
      </c>
      <c r="B17" s="11" t="n">
        <v>0</v>
      </c>
      <c r="C17" s="10">
        <f>SUMIFS(Lancamentos!$G:$G,Lancamentos!$E:$E,A17,Lancamentos!$M:$M,TEXT(TODAY(),"AAAA-MM"))</f>
        <v/>
      </c>
      <c r="D17" s="10">
        <f>B17-C17</f>
        <v/>
      </c>
      <c r="E17" s="12">
        <f>IF(B17=0,"Sem orcamento",IF(C17&lt;=B17,"Dentro do orcado","Estourado"))</f>
        <v/>
      </c>
    </row>
    <row r="18">
      <c r="A18" s="2" t="inlineStr">
        <is>
          <t>Mensalidade Escolar</t>
        </is>
      </c>
      <c r="B18" s="11" t="n">
        <v>0</v>
      </c>
      <c r="C18" s="10">
        <f>SUMIFS(Lancamentos!$G:$G,Lancamentos!$E:$E,A18,Lancamentos!$M:$M,TEXT(TODAY(),"AAAA-MM"))</f>
        <v/>
      </c>
      <c r="D18" s="10">
        <f>B18-C18</f>
        <v/>
      </c>
      <c r="E18" s="12">
        <f>IF(B18=0,"Sem orcamento",IF(C18&lt;=B18,"Dentro do orcado","Estourado"))</f>
        <v/>
      </c>
    </row>
    <row r="19">
      <c r="A19" s="2" t="inlineStr">
        <is>
          <t>Streaming / Assinaturas</t>
        </is>
      </c>
      <c r="B19" s="11" t="n">
        <v>0</v>
      </c>
      <c r="C19" s="10">
        <f>SUMIFS(Lancamentos!$G:$G,Lancamentos!$E:$E,A19,Lancamentos!$M:$M,TEXT(TODAY(),"AAAA-MM"))</f>
        <v/>
      </c>
      <c r="D19" s="10">
        <f>B19-C19</f>
        <v/>
      </c>
      <c r="E19" s="12">
        <f>IF(B19=0,"Sem orcamento",IF(C19&lt;=B19,"Dentro do orcado","Estourado"))</f>
        <v/>
      </c>
    </row>
    <row r="20">
      <c r="A20" s="2" t="inlineStr">
        <is>
          <t>Vestuario</t>
        </is>
      </c>
      <c r="B20" s="11" t="n">
        <v>0</v>
      </c>
      <c r="C20" s="10">
        <f>SUMIFS(Lancamentos!$G:$G,Lancamentos!$E:$E,A20,Lancamentos!$M:$M,TEXT(TODAY(),"AAAA-MM"))</f>
        <v/>
      </c>
      <c r="D20" s="10">
        <f>B20-C20</f>
        <v/>
      </c>
      <c r="E20" s="12">
        <f>IF(B20=0,"Sem orcamento",IF(C20&lt;=B20,"Dentro do orcado","Estourado"))</f>
        <v/>
      </c>
    </row>
    <row r="21">
      <c r="A21" s="2" t="inlineStr">
        <is>
          <t>Cuidados Pessoais</t>
        </is>
      </c>
      <c r="B21" s="11" t="n">
        <v>0</v>
      </c>
      <c r="C21" s="10">
        <f>SUMIFS(Lancamentos!$G:$G,Lancamentos!$E:$E,A21,Lancamentos!$M:$M,TEXT(TODAY(),"AAAA-MM"))</f>
        <v/>
      </c>
      <c r="D21" s="10">
        <f>B21-C21</f>
        <v/>
      </c>
      <c r="E21" s="12">
        <f>IF(B21=0,"Sem orcamento",IF(C21&lt;=B21,"Dentro do orcado","Estourado"))</f>
        <v/>
      </c>
    </row>
    <row r="22">
      <c r="A22" s="2" t="inlineStr">
        <is>
          <t>Impostos / Taxas</t>
        </is>
      </c>
      <c r="B22" s="11" t="n">
        <v>0</v>
      </c>
      <c r="C22" s="10">
        <f>SUMIFS(Lancamentos!$G:$G,Lancamentos!$E:$E,A22,Lancamentos!$M:$M,TEXT(TODAY(),"AAAA-MM"))</f>
        <v/>
      </c>
      <c r="D22" s="10">
        <f>B22-C22</f>
        <v/>
      </c>
      <c r="E22" s="12">
        <f>IF(B22=0,"Sem orcamento",IF(C22&lt;=B22,"Dentro do orcado","Estourado"))</f>
        <v/>
      </c>
    </row>
    <row r="23">
      <c r="A23" s="2" t="inlineStr">
        <is>
          <t>Pets</t>
        </is>
      </c>
      <c r="B23" s="11" t="n">
        <v>0</v>
      </c>
      <c r="C23" s="10">
        <f>SUMIFS(Lancamentos!$G:$G,Lancamentos!$E:$E,A23,Lancamentos!$M:$M,TEXT(TODAY(),"AAAA-MM"))</f>
        <v/>
      </c>
      <c r="D23" s="10">
        <f>B23-C23</f>
        <v/>
      </c>
      <c r="E23" s="12">
        <f>IF(B23=0,"Sem orcamento",IF(C23&lt;=B23,"Dentro do orcado","Estourado"))</f>
        <v/>
      </c>
    </row>
    <row r="24">
      <c r="A24" s="2" t="inlineStr">
        <is>
          <t>Presentes / Doacoes</t>
        </is>
      </c>
      <c r="B24" s="11" t="n">
        <v>0</v>
      </c>
      <c r="C24" s="10">
        <f>SUMIFS(Lancamentos!$G:$G,Lancamentos!$E:$E,A24,Lancamentos!$M:$M,TEXT(TODAY(),"AAAA-MM"))</f>
        <v/>
      </c>
      <c r="D24" s="10">
        <f>B24-C24</f>
        <v/>
      </c>
      <c r="E24" s="12">
        <f>IF(B24=0,"Sem orcamento",IF(C24&lt;=B24,"Dentro do orcado","Estourado"))</f>
        <v/>
      </c>
    </row>
    <row r="26">
      <c r="A26" s="4" t="inlineStr">
        <is>
          <t>Legenda (celulas azuis = editaveis): preencha 'Valor_Orcado' com o limite mensal desejado para cada categoria. 'Valor_Gasto' e calculado automaticamente com base no mes atual (hoje).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2026-09-05T14:07:52Z</dcterms:created>
  <dcterms:modified xsi:type="dcterms:W3CDTF">2026-09-05T14:07:52Z</dcterms:modified>
</cp:coreProperties>
</file>